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새폴더\2차\"/>
    </mc:Choice>
  </mc:AlternateContent>
  <xr:revisionPtr revIDLastSave="0" documentId="13_ncr:1_{07750EBD-973F-4E84-ACEA-823932B72A7B}" xr6:coauthVersionLast="47" xr6:coauthVersionMax="47" xr10:uidLastSave="{00000000-0000-0000-0000-000000000000}"/>
  <bookViews>
    <workbookView xWindow="768" yWindow="768" windowWidth="12912" windowHeight="8880" xr2:uid="{00000000-000D-0000-FFFF-FFFF00000000}"/>
  </bookViews>
  <sheets>
    <sheet name="0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G6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G5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G7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10" i="1"/>
  <c r="E7" i="1" l="1"/>
  <c r="E6" i="1"/>
  <c r="E5" i="1" l="1"/>
  <c r="C4" i="1" s="1"/>
</calcChain>
</file>

<file path=xl/sharedStrings.xml><?xml version="1.0" encoding="utf-8"?>
<sst xmlns="http://schemas.openxmlformats.org/spreadsheetml/2006/main" count="226" uniqueCount="102">
  <si>
    <t>조립1</t>
  </si>
  <si>
    <t>조립2</t>
  </si>
  <si>
    <t>조립3</t>
  </si>
  <si>
    <t>구분</t>
  </si>
  <si>
    <t>CODE</t>
  </si>
  <si>
    <t>PLT</t>
  </si>
  <si>
    <t>품명</t>
  </si>
  <si>
    <t>현장달력</t>
  </si>
  <si>
    <t>근무</t>
  </si>
  <si>
    <t>휴무</t>
  </si>
  <si>
    <t>LINE</t>
  </si>
  <si>
    <t>FAN</t>
  </si>
  <si>
    <t>THS0060501</t>
  </si>
  <si>
    <t>J9 GEN5 LHD(한성전장)수밀개선</t>
  </si>
  <si>
    <t>THS0082901</t>
  </si>
  <si>
    <t>J9 GEN5 RHD수밀개선</t>
  </si>
  <si>
    <t>THS0098600</t>
  </si>
  <si>
    <t>A0660015C01</t>
  </si>
  <si>
    <t>LUCID</t>
  </si>
  <si>
    <t>FLANGE</t>
  </si>
  <si>
    <t>A0660011C00</t>
  </si>
  <si>
    <t>WL LHD</t>
  </si>
  <si>
    <t>A0660012C00</t>
  </si>
  <si>
    <t>WL RHD</t>
  </si>
  <si>
    <t>THS0104600</t>
  </si>
  <si>
    <t>A2XX 중국(수밀개선/23MY)</t>
  </si>
  <si>
    <t>A2XX 미국(수밀개선)</t>
  </si>
  <si>
    <t>THS0104601</t>
  </si>
  <si>
    <t>A2XX 중국(수밀개선/24MY)</t>
  </si>
  <si>
    <t>A2XX 미국(수밀개선/24MY)</t>
  </si>
  <si>
    <t>THS0065801</t>
  </si>
  <si>
    <t>T6 (P703) 수밀(U725)</t>
  </si>
  <si>
    <t>MOTOR</t>
  </si>
  <si>
    <t>THS0070200</t>
  </si>
  <si>
    <t>BEV3 60 CN경도 60(수밀개선)</t>
  </si>
  <si>
    <t>THS0107200</t>
  </si>
  <si>
    <t>BEV3 60 US경도 60(수밀개선)</t>
  </si>
  <si>
    <t>BEV3 60 MX경도 60(수밀개선)</t>
  </si>
  <si>
    <t>THS0105700</t>
  </si>
  <si>
    <t>BEV3 30 US경도 30(수밀개선)</t>
  </si>
  <si>
    <t>THS0107300</t>
  </si>
  <si>
    <t>BEV3 RHD 60 MX (수밀개선)</t>
  </si>
  <si>
    <t>THS0066000</t>
  </si>
  <si>
    <t>V710 CW(RHD)</t>
  </si>
  <si>
    <t>THS0065900</t>
  </si>
  <si>
    <t>V710 CCW(LHD)</t>
  </si>
  <si>
    <t>THS0071700</t>
  </si>
  <si>
    <t>V710 AUX</t>
  </si>
  <si>
    <t>THS0131001</t>
  </si>
  <si>
    <t>RIVIAN R1T(한성전장)</t>
  </si>
  <si>
    <t>THS0132300</t>
  </si>
  <si>
    <t>RIVIAN EDV(한성전장)</t>
  </si>
  <si>
    <t>THS0090903</t>
  </si>
  <si>
    <t>MEL/MET</t>
  </si>
  <si>
    <t>THS0120400</t>
  </si>
  <si>
    <t>W601</t>
  </si>
  <si>
    <t>THS0080704</t>
  </si>
  <si>
    <t>TAM EV</t>
  </si>
  <si>
    <t>THS0128300</t>
  </si>
  <si>
    <t>NX4 RHD</t>
  </si>
  <si>
    <t>THS0125301</t>
  </si>
  <si>
    <t>AX EV LHD</t>
  </si>
  <si>
    <t>THS0128001</t>
  </si>
  <si>
    <t>AX EV RHD</t>
  </si>
  <si>
    <t>THS0136900</t>
  </si>
  <si>
    <t>SU21</t>
  </si>
  <si>
    <t>THS0189101</t>
  </si>
  <si>
    <t>SW(두원)CCW</t>
  </si>
  <si>
    <t>THS0066100</t>
  </si>
  <si>
    <t>PACCARLHD</t>
  </si>
  <si>
    <t>THSS0066200</t>
  </si>
  <si>
    <t>PACCARRHD</t>
  </si>
  <si>
    <t>THS0135900</t>
  </si>
  <si>
    <t>NAVISTAR</t>
  </si>
  <si>
    <t>THS0135802</t>
  </si>
  <si>
    <t>M2</t>
  </si>
  <si>
    <t>THS0152401</t>
  </si>
  <si>
    <t>RG3(한성전장)</t>
  </si>
  <si>
    <t>THS0143201</t>
  </si>
  <si>
    <t>MX5a(한성전장)</t>
  </si>
  <si>
    <t>THS0081601</t>
  </si>
  <si>
    <t>MX5(한성전장)</t>
  </si>
  <si>
    <t>THS0081801</t>
  </si>
  <si>
    <t>MQ4 LHD(한성전장)</t>
  </si>
  <si>
    <t>THS0122201</t>
  </si>
  <si>
    <t>SV LHD</t>
  </si>
  <si>
    <t>THS0122301</t>
  </si>
  <si>
    <t>SV RHD</t>
  </si>
  <si>
    <t>THS0216300</t>
  </si>
  <si>
    <t>SZ1e LHD (SV LHD CKD 포장)</t>
  </si>
  <si>
    <t>THS0216400</t>
  </si>
  <si>
    <t>SZ1e RHD(SV RHD CKD 포장)</t>
  </si>
  <si>
    <t>THS0081901</t>
  </si>
  <si>
    <t>MQ4 RHD</t>
  </si>
  <si>
    <t>THS0173102</t>
  </si>
  <si>
    <t>TB5H SW CCW IMPELLER ASM</t>
  </si>
  <si>
    <t>THS0173202</t>
  </si>
  <si>
    <t>TB5H SW CW IMPELLER ASM</t>
  </si>
  <si>
    <r>
      <t>일</t>
    </r>
    <r>
      <rPr>
        <b/>
        <sz val="10"/>
        <color rgb="FFFF0000"/>
        <rFont val="&quot;Google Sans Text&quot;"/>
        <family val="2"/>
      </rPr>
      <t xml:space="preserve"> CAPA</t>
    </r>
  </si>
  <si>
    <t>BERGSTROM</t>
    <phoneticPr fontId="6" type="noConversion"/>
  </si>
  <si>
    <t>BLDC 조립라인 9월 생산계획</t>
    <phoneticPr fontId="6" type="noConversion"/>
  </si>
  <si>
    <t>생산 합계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</si>
</sst>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\/d\(aaa\)"/>
    <numFmt numFmtId="177" formatCode="#,##0;[=0]&quot;-&quot;"/>
  </numFmts>
  <fonts count="18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b/>
      <sz val="10"/>
      <color theme="1"/>
      <name val="&quot;Google Sans Text&quot;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&quot;Google Sans Text&quot;"/>
    </font>
    <font>
      <b/>
      <sz val="10"/>
      <color rgb="FFFF0000"/>
      <name val="&quot;Google Sans Text&quot;"/>
      <family val="2"/>
    </font>
    <font>
      <sz val="10"/>
      <color rgb="FF0000CC"/>
      <name val="Arial"/>
      <family val="2"/>
      <scheme val="minor"/>
    </font>
    <font>
      <sz val="10"/>
      <color rgb="FF0000CC"/>
      <name val="Arial"/>
      <family val="2"/>
    </font>
    <font>
      <b/>
      <sz val="10"/>
      <color rgb="FF0070C0"/>
      <name val="&quot;Google Sans Text&quot;"/>
    </font>
    <font>
      <b/>
      <sz val="10"/>
      <color rgb="FFFF0000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DE9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77" fontId="4" fillId="0" borderId="10" xfId="0" applyNumberFormat="1" applyFont="1" applyBorder="1" applyAlignment="1">
      <alignment horizontal="center"/>
    </xf>
    <xf numFmtId="0" fontId="2" fillId="2" borderId="4" xfId="0" applyFont="1" applyFill="1" applyBorder="1"/>
    <xf numFmtId="0" fontId="5" fillId="2" borderId="4" xfId="0" applyFont="1" applyFill="1" applyBorder="1"/>
    <xf numFmtId="177" fontId="1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/>
    <xf numFmtId="3" fontId="1" fillId="2" borderId="4" xfId="0" applyNumberFormat="1" applyFont="1" applyFill="1" applyBorder="1"/>
    <xf numFmtId="0" fontId="0" fillId="2" borderId="4" xfId="0" applyFill="1" applyBorder="1"/>
    <xf numFmtId="0" fontId="3" fillId="2" borderId="4" xfId="0" applyFont="1" applyFill="1" applyBorder="1"/>
    <xf numFmtId="3" fontId="2" fillId="2" borderId="4" xfId="0" applyNumberFormat="1" applyFont="1" applyFill="1" applyBorder="1"/>
    <xf numFmtId="0" fontId="3" fillId="3" borderId="4" xfId="0" applyFont="1" applyFill="1" applyBorder="1"/>
    <xf numFmtId="0" fontId="5" fillId="3" borderId="4" xfId="0" applyFont="1" applyFill="1" applyBorder="1"/>
    <xf numFmtId="177" fontId="1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4" xfId="0" applyFill="1" applyBorder="1"/>
    <xf numFmtId="0" fontId="10" fillId="3" borderId="4" xfId="0" applyFont="1" applyFill="1" applyBorder="1"/>
    <xf numFmtId="0" fontId="11" fillId="3" borderId="4" xfId="0" applyFont="1" applyFill="1" applyBorder="1"/>
    <xf numFmtId="0" fontId="3" fillId="4" borderId="4" xfId="0" applyFont="1" applyFill="1" applyBorder="1"/>
    <xf numFmtId="0" fontId="5" fillId="4" borderId="4" xfId="0" applyFont="1" applyFill="1" applyBorder="1"/>
    <xf numFmtId="177" fontId="1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4" borderId="4" xfId="0" applyFill="1" applyBorder="1"/>
    <xf numFmtId="0" fontId="2" fillId="2" borderId="13" xfId="0" applyFont="1" applyFill="1" applyBorder="1"/>
    <xf numFmtId="0" fontId="3" fillId="2" borderId="14" xfId="0" applyFont="1" applyFill="1" applyBorder="1"/>
    <xf numFmtId="0" fontId="0" fillId="2" borderId="14" xfId="0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0" fillId="3" borderId="14" xfId="0" applyFill="1" applyBorder="1"/>
    <xf numFmtId="0" fontId="10" fillId="3" borderId="13" xfId="0" applyFont="1" applyFill="1" applyBorder="1"/>
    <xf numFmtId="0" fontId="3" fillId="4" borderId="13" xfId="0" applyFont="1" applyFill="1" applyBorder="1"/>
    <xf numFmtId="0" fontId="0" fillId="4" borderId="14" xfId="0" applyFill="1" applyBorder="1"/>
    <xf numFmtId="0" fontId="3" fillId="4" borderId="15" xfId="0" applyFont="1" applyFill="1" applyBorder="1"/>
    <xf numFmtId="0" fontId="5" fillId="4" borderId="6" xfId="0" applyFont="1" applyFill="1" applyBorder="1"/>
    <xf numFmtId="0" fontId="3" fillId="4" borderId="6" xfId="0" applyFont="1" applyFill="1" applyBorder="1"/>
    <xf numFmtId="177" fontId="1" fillId="4" borderId="6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4" borderId="6" xfId="0" applyFill="1" applyBorder="1"/>
    <xf numFmtId="0" fontId="0" fillId="4" borderId="16" xfId="0" applyFill="1" applyBorder="1"/>
    <xf numFmtId="3" fontId="9" fillId="0" borderId="4" xfId="0" applyNumberFormat="1" applyFont="1" applyBorder="1"/>
    <xf numFmtId="0" fontId="1" fillId="0" borderId="11" xfId="0" applyFont="1" applyBorder="1"/>
    <xf numFmtId="0" fontId="8" fillId="0" borderId="5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3" fontId="9" fillId="0" borderId="6" xfId="0" applyNumberFormat="1" applyFont="1" applyBorder="1"/>
    <xf numFmtId="3" fontId="1" fillId="0" borderId="16" xfId="0" applyNumberFormat="1" applyFont="1" applyBorder="1"/>
    <xf numFmtId="0" fontId="13" fillId="0" borderId="5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13" xfId="0" applyFont="1" applyBorder="1"/>
    <xf numFmtId="0" fontId="15" fillId="0" borderId="4" xfId="0" applyFont="1" applyBorder="1"/>
    <xf numFmtId="3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76" fontId="14" fillId="0" borderId="4" xfId="0" applyNumberFormat="1" applyFont="1" applyBorder="1" applyAlignment="1">
      <alignment horizontal="center"/>
    </xf>
    <xf numFmtId="176" fontId="13" fillId="5" borderId="4" xfId="0" applyNumberFormat="1" applyFont="1" applyFill="1" applyBorder="1" applyAlignment="1">
      <alignment horizontal="center"/>
    </xf>
    <xf numFmtId="176" fontId="14" fillId="0" borderId="14" xfId="0" applyNumberFormat="1" applyFont="1" applyBorder="1" applyAlignment="1">
      <alignment horizontal="center"/>
    </xf>
    <xf numFmtId="0" fontId="16" fillId="0" borderId="0" xfId="0" applyFont="1"/>
    <xf numFmtId="3" fontId="12" fillId="0" borderId="17" xfId="0" applyNumberFormat="1" applyFont="1" applyBorder="1" applyAlignment="1">
      <alignment horizontal="center"/>
    </xf>
    <xf numFmtId="3" fontId="12" fillId="0" borderId="18" xfId="0" applyNumberFormat="1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177" fontId="4" fillId="0" borderId="7" xfId="0" applyNumberFormat="1" applyFont="1" applyBorder="1" applyAlignment="1">
      <alignment horizontal="center"/>
    </xf>
    <xf numFmtId="177" fontId="4" fillId="0" borderId="8" xfId="0" applyNumberFormat="1" applyFont="1" applyBorder="1" applyAlignment="1">
      <alignment horizontal="center"/>
    </xf>
    <xf numFmtId="177" fontId="4" fillId="0" borderId="9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left"/>
    </xf>
    <xf numFmtId="0" fontId="3" fillId="2" borderId="13" xfId="0" applyFont="1" applyFill="1" applyBorder="1"/>
    <xf numFmtId="0" fontId="3" fillId="2" borderId="4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5E6A2"/>
      <color rgb="FFFDDE91"/>
      <color rgb="FF0000CC"/>
      <color rgb="FFF9D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55"/>
  <sheetViews>
    <sheetView tabSelected="1" topLeftCell="N19" zoomScale="68" zoomScaleNormal="70" workbookViewId="0">
      <selection activeCell="AI57" sqref="AI57"/>
    </sheetView>
  </sheetViews>
  <sheetFormatPr defaultColWidth="12.6640625" defaultRowHeight="15.75" customHeight="1"/>
  <cols>
    <col min="3" max="3" width="8.21875" customWidth="1"/>
    <col min="4" max="4" width="30.44140625" bestFit="1" customWidth="1"/>
    <col min="5" max="6" width="12.6640625" style="3"/>
    <col min="28" max="36" width="14" customWidth="1"/>
  </cols>
  <sheetData>
    <row r="1" spans="1:36" ht="13.2">
      <c r="A1" s="44"/>
      <c r="B1" s="45" t="s">
        <v>98</v>
      </c>
      <c r="C1" s="46"/>
      <c r="D1" s="1"/>
      <c r="E1" s="2"/>
      <c r="F1" s="2"/>
    </row>
    <row r="2" spans="1:36" ht="15.75" customHeight="1">
      <c r="A2" s="47">
        <v>1</v>
      </c>
      <c r="B2" s="43">
        <v>3300</v>
      </c>
      <c r="C2" s="48"/>
      <c r="D2" s="1"/>
      <c r="E2" s="2"/>
      <c r="F2" s="2"/>
    </row>
    <row r="3" spans="1:36" ht="15.75" customHeight="1">
      <c r="A3" s="47">
        <v>2</v>
      </c>
      <c r="B3" s="43">
        <v>3700</v>
      </c>
      <c r="C3" s="48"/>
      <c r="D3" s="1"/>
      <c r="E3" s="2"/>
      <c r="F3" s="2"/>
    </row>
    <row r="4" spans="1:36" ht="15.75" customHeight="1" thickBot="1">
      <c r="A4" s="49">
        <v>3</v>
      </c>
      <c r="B4" s="50">
        <v>3600</v>
      </c>
      <c r="C4" s="51">
        <f>SUM($E$5:$E$7)</f>
        <v>192465</v>
      </c>
      <c r="D4" s="1"/>
      <c r="E4" s="2"/>
      <c r="F4" s="2"/>
    </row>
    <row r="5" spans="1:36" s="4" customFormat="1" ht="15.6">
      <c r="A5" s="75"/>
      <c r="B5" s="76"/>
      <c r="C5" s="76"/>
      <c r="D5" s="77"/>
      <c r="E5" s="66">
        <f t="shared" ref="E5:E7" si="0">SUM(G5:AJ5)</f>
        <v>58650</v>
      </c>
      <c r="F5" s="72" t="s">
        <v>0</v>
      </c>
      <c r="G5" s="69">
        <f>SUM(G$10:G$20)</f>
        <v>2600</v>
      </c>
      <c r="H5" s="69">
        <f t="shared" ref="H5:AJ5" si="1">SUM(H$10:H$20)</f>
        <v>2075</v>
      </c>
      <c r="I5" s="69">
        <f t="shared" si="1"/>
        <v>2950</v>
      </c>
      <c r="J5" s="69">
        <f t="shared" si="1"/>
        <v>2425</v>
      </c>
      <c r="K5" s="69">
        <f t="shared" si="1"/>
        <v>2600</v>
      </c>
      <c r="L5" s="69">
        <f t="shared" si="1"/>
        <v>0</v>
      </c>
      <c r="M5" s="69">
        <f t="shared" si="1"/>
        <v>0</v>
      </c>
      <c r="N5" s="69">
        <f t="shared" si="1"/>
        <v>2950</v>
      </c>
      <c r="O5" s="69">
        <f t="shared" si="1"/>
        <v>2950</v>
      </c>
      <c r="P5" s="69">
        <f t="shared" si="1"/>
        <v>2775</v>
      </c>
      <c r="Q5" s="69">
        <f t="shared" si="1"/>
        <v>2775</v>
      </c>
      <c r="R5" s="69">
        <f t="shared" si="1"/>
        <v>2950</v>
      </c>
      <c r="S5" s="69">
        <f t="shared" si="1"/>
        <v>0</v>
      </c>
      <c r="T5" s="69">
        <f t="shared" si="1"/>
        <v>0</v>
      </c>
      <c r="U5" s="69">
        <f t="shared" si="1"/>
        <v>2600</v>
      </c>
      <c r="V5" s="69">
        <f t="shared" si="1"/>
        <v>2600</v>
      </c>
      <c r="W5" s="69">
        <f t="shared" si="1"/>
        <v>2600</v>
      </c>
      <c r="X5" s="69">
        <f t="shared" si="1"/>
        <v>2600</v>
      </c>
      <c r="Y5" s="69">
        <f t="shared" si="1"/>
        <v>2600</v>
      </c>
      <c r="Z5" s="69">
        <f t="shared" si="1"/>
        <v>0</v>
      </c>
      <c r="AA5" s="69">
        <f t="shared" si="1"/>
        <v>0</v>
      </c>
      <c r="AB5" s="69">
        <f t="shared" si="1"/>
        <v>3375</v>
      </c>
      <c r="AC5" s="69">
        <f t="shared" si="1"/>
        <v>2775</v>
      </c>
      <c r="AD5" s="69">
        <f t="shared" si="1"/>
        <v>2775</v>
      </c>
      <c r="AE5" s="69">
        <f t="shared" si="1"/>
        <v>2775</v>
      </c>
      <c r="AF5" s="69">
        <f t="shared" si="1"/>
        <v>2775</v>
      </c>
      <c r="AG5" s="69">
        <f t="shared" si="1"/>
        <v>0</v>
      </c>
      <c r="AH5" s="69">
        <f t="shared" si="1"/>
        <v>0</v>
      </c>
      <c r="AI5" s="69">
        <f t="shared" si="1"/>
        <v>2725</v>
      </c>
      <c r="AJ5" s="69">
        <f t="shared" si="1"/>
        <v>1400</v>
      </c>
    </row>
    <row r="6" spans="1:36" s="4" customFormat="1" ht="25.2">
      <c r="A6" s="80" t="s">
        <v>100</v>
      </c>
      <c r="B6" s="76"/>
      <c r="C6" s="76"/>
      <c r="D6" s="78"/>
      <c r="E6" s="67">
        <f t="shared" si="0"/>
        <v>63495</v>
      </c>
      <c r="F6" s="73" t="s">
        <v>1</v>
      </c>
      <c r="G6" s="70">
        <f>SUM(G$21:G$43)</f>
        <v>2525</v>
      </c>
      <c r="H6" s="70">
        <f t="shared" ref="H6:AJ6" si="2">SUM(H$21:H$43)</f>
        <v>3355</v>
      </c>
      <c r="I6" s="70">
        <f t="shared" si="2"/>
        <v>2710</v>
      </c>
      <c r="J6" s="70">
        <f t="shared" si="2"/>
        <v>3690</v>
      </c>
      <c r="K6" s="70">
        <f t="shared" si="2"/>
        <v>3395</v>
      </c>
      <c r="L6" s="70">
        <f t="shared" si="2"/>
        <v>0</v>
      </c>
      <c r="M6" s="70">
        <f t="shared" si="2"/>
        <v>0</v>
      </c>
      <c r="N6" s="70">
        <f t="shared" si="2"/>
        <v>2900</v>
      </c>
      <c r="O6" s="70">
        <f t="shared" si="2"/>
        <v>2680</v>
      </c>
      <c r="P6" s="70">
        <f t="shared" si="2"/>
        <v>2840</v>
      </c>
      <c r="Q6" s="70">
        <f t="shared" si="2"/>
        <v>3380</v>
      </c>
      <c r="R6" s="70">
        <f t="shared" si="2"/>
        <v>3250</v>
      </c>
      <c r="S6" s="70">
        <f t="shared" si="2"/>
        <v>0</v>
      </c>
      <c r="T6" s="70">
        <f t="shared" si="2"/>
        <v>0</v>
      </c>
      <c r="U6" s="70">
        <f t="shared" si="2"/>
        <v>2880</v>
      </c>
      <c r="V6" s="70">
        <f t="shared" si="2"/>
        <v>3380</v>
      </c>
      <c r="W6" s="70">
        <f t="shared" si="2"/>
        <v>3060</v>
      </c>
      <c r="X6" s="70">
        <f t="shared" si="2"/>
        <v>3330</v>
      </c>
      <c r="Y6" s="70">
        <f t="shared" si="2"/>
        <v>3075</v>
      </c>
      <c r="Z6" s="70">
        <f t="shared" si="2"/>
        <v>0</v>
      </c>
      <c r="AA6" s="70">
        <f t="shared" si="2"/>
        <v>0</v>
      </c>
      <c r="AB6" s="70">
        <f t="shared" si="2"/>
        <v>3260</v>
      </c>
      <c r="AC6" s="70">
        <f t="shared" si="2"/>
        <v>2975</v>
      </c>
      <c r="AD6" s="70">
        <f t="shared" si="2"/>
        <v>3430</v>
      </c>
      <c r="AE6" s="70">
        <f t="shared" si="2"/>
        <v>2775</v>
      </c>
      <c r="AF6" s="70">
        <f t="shared" si="2"/>
        <v>3175</v>
      </c>
      <c r="AG6" s="70">
        <f t="shared" si="2"/>
        <v>0</v>
      </c>
      <c r="AH6" s="70">
        <f t="shared" si="2"/>
        <v>0</v>
      </c>
      <c r="AI6" s="70">
        <f t="shared" si="2"/>
        <v>1430</v>
      </c>
      <c r="AJ6" s="70">
        <f t="shared" si="2"/>
        <v>0</v>
      </c>
    </row>
    <row r="7" spans="1:36" s="4" customFormat="1" ht="16.2" thickBot="1">
      <c r="A7" s="79"/>
      <c r="B7" s="76"/>
      <c r="C7" s="76"/>
      <c r="D7" s="78"/>
      <c r="E7" s="68">
        <f t="shared" si="0"/>
        <v>70320</v>
      </c>
      <c r="F7" s="74" t="s">
        <v>2</v>
      </c>
      <c r="G7" s="71">
        <f>SUM(G$44:G$55)</f>
        <v>3390</v>
      </c>
      <c r="H7" s="5">
        <f t="shared" ref="H7:AJ7" si="3">SUM(H$44:H$55)</f>
        <v>3450</v>
      </c>
      <c r="I7" s="5">
        <f t="shared" si="3"/>
        <v>2730</v>
      </c>
      <c r="J7" s="5">
        <f t="shared" si="3"/>
        <v>3600</v>
      </c>
      <c r="K7" s="5">
        <f t="shared" si="3"/>
        <v>2910</v>
      </c>
      <c r="L7" s="5">
        <f t="shared" si="3"/>
        <v>0</v>
      </c>
      <c r="M7" s="5">
        <f t="shared" si="3"/>
        <v>0</v>
      </c>
      <c r="N7" s="5">
        <f t="shared" si="3"/>
        <v>3660</v>
      </c>
      <c r="O7" s="5">
        <f t="shared" si="3"/>
        <v>3390</v>
      </c>
      <c r="P7" s="5">
        <f t="shared" si="3"/>
        <v>3660</v>
      </c>
      <c r="Q7" s="5">
        <f t="shared" si="3"/>
        <v>3030</v>
      </c>
      <c r="R7" s="5">
        <f t="shared" si="3"/>
        <v>3660</v>
      </c>
      <c r="S7" s="5">
        <f t="shared" si="3"/>
        <v>0</v>
      </c>
      <c r="T7" s="5">
        <f t="shared" si="3"/>
        <v>0</v>
      </c>
      <c r="U7" s="5">
        <f t="shared" si="3"/>
        <v>3510</v>
      </c>
      <c r="V7" s="5">
        <f t="shared" si="3"/>
        <v>3180</v>
      </c>
      <c r="W7" s="5">
        <f t="shared" si="3"/>
        <v>3690</v>
      </c>
      <c r="X7" s="5">
        <f t="shared" si="3"/>
        <v>3180</v>
      </c>
      <c r="Y7" s="5">
        <f t="shared" si="3"/>
        <v>3510</v>
      </c>
      <c r="Z7" s="5">
        <f t="shared" si="3"/>
        <v>0</v>
      </c>
      <c r="AA7" s="5">
        <f t="shared" si="3"/>
        <v>0</v>
      </c>
      <c r="AB7" s="5">
        <f t="shared" si="3"/>
        <v>3660</v>
      </c>
      <c r="AC7" s="5">
        <f t="shared" si="3"/>
        <v>3330</v>
      </c>
      <c r="AD7" s="5">
        <f t="shared" si="3"/>
        <v>3570</v>
      </c>
      <c r="AE7" s="5">
        <f t="shared" si="3"/>
        <v>2700</v>
      </c>
      <c r="AF7" s="5">
        <f t="shared" si="3"/>
        <v>3660</v>
      </c>
      <c r="AG7" s="5">
        <f t="shared" si="3"/>
        <v>0</v>
      </c>
      <c r="AH7" s="5">
        <f t="shared" si="3"/>
        <v>0</v>
      </c>
      <c r="AI7" s="5">
        <f t="shared" si="3"/>
        <v>2850</v>
      </c>
      <c r="AJ7" s="5">
        <f t="shared" si="3"/>
        <v>0</v>
      </c>
    </row>
    <row r="8" spans="1:36" s="57" customFormat="1" ht="15.75" customHeight="1">
      <c r="A8" s="53" t="s">
        <v>3</v>
      </c>
      <c r="B8" s="54" t="s">
        <v>4</v>
      </c>
      <c r="C8" s="54" t="s">
        <v>5</v>
      </c>
      <c r="D8" s="54" t="s">
        <v>6</v>
      </c>
      <c r="E8" s="54" t="s">
        <v>101</v>
      </c>
      <c r="F8" s="54" t="s">
        <v>7</v>
      </c>
      <c r="G8" s="54" t="s">
        <v>8</v>
      </c>
      <c r="H8" s="54" t="s">
        <v>8</v>
      </c>
      <c r="I8" s="54" t="s">
        <v>8</v>
      </c>
      <c r="J8" s="54" t="s">
        <v>8</v>
      </c>
      <c r="K8" s="54" t="s">
        <v>8</v>
      </c>
      <c r="L8" s="52" t="s">
        <v>9</v>
      </c>
      <c r="M8" s="52" t="s">
        <v>9</v>
      </c>
      <c r="N8" s="54" t="s">
        <v>8</v>
      </c>
      <c r="O8" s="54" t="s">
        <v>8</v>
      </c>
      <c r="P8" s="54" t="s">
        <v>8</v>
      </c>
      <c r="Q8" s="54" t="s">
        <v>8</v>
      </c>
      <c r="R8" s="54" t="s">
        <v>8</v>
      </c>
      <c r="S8" s="52" t="s">
        <v>9</v>
      </c>
      <c r="T8" s="52" t="s">
        <v>9</v>
      </c>
      <c r="U8" s="55" t="s">
        <v>8</v>
      </c>
      <c r="V8" s="55" t="s">
        <v>8</v>
      </c>
      <c r="W8" s="55" t="s">
        <v>8</v>
      </c>
      <c r="X8" s="55" t="s">
        <v>8</v>
      </c>
      <c r="Y8" s="55" t="s">
        <v>8</v>
      </c>
      <c r="Z8" s="52" t="s">
        <v>9</v>
      </c>
      <c r="AA8" s="52" t="s">
        <v>9</v>
      </c>
      <c r="AB8" s="55" t="s">
        <v>8</v>
      </c>
      <c r="AC8" s="55" t="s">
        <v>8</v>
      </c>
      <c r="AD8" s="55" t="s">
        <v>8</v>
      </c>
      <c r="AE8" s="55" t="s">
        <v>8</v>
      </c>
      <c r="AF8" s="55" t="s">
        <v>8</v>
      </c>
      <c r="AG8" s="52" t="s">
        <v>9</v>
      </c>
      <c r="AH8" s="52" t="s">
        <v>9</v>
      </c>
      <c r="AI8" s="55" t="s">
        <v>8</v>
      </c>
      <c r="AJ8" s="56" t="s">
        <v>8</v>
      </c>
    </row>
    <row r="9" spans="1:36" s="65" customFormat="1" ht="15.6">
      <c r="A9" s="58"/>
      <c r="B9" s="59"/>
      <c r="C9" s="59"/>
      <c r="D9" s="59"/>
      <c r="E9" s="60"/>
      <c r="F9" s="61" t="s">
        <v>10</v>
      </c>
      <c r="G9" s="62">
        <v>45901</v>
      </c>
      <c r="H9" s="62">
        <v>45902</v>
      </c>
      <c r="I9" s="62">
        <v>45903</v>
      </c>
      <c r="J9" s="62">
        <v>45904</v>
      </c>
      <c r="K9" s="62">
        <v>45905</v>
      </c>
      <c r="L9" s="63">
        <v>45906</v>
      </c>
      <c r="M9" s="63">
        <v>45907</v>
      </c>
      <c r="N9" s="62">
        <v>45908</v>
      </c>
      <c r="O9" s="62">
        <v>45909</v>
      </c>
      <c r="P9" s="62">
        <v>45910</v>
      </c>
      <c r="Q9" s="62">
        <v>45911</v>
      </c>
      <c r="R9" s="62">
        <v>45912</v>
      </c>
      <c r="S9" s="63">
        <v>45913</v>
      </c>
      <c r="T9" s="63">
        <v>45914</v>
      </c>
      <c r="U9" s="62">
        <v>45915</v>
      </c>
      <c r="V9" s="62">
        <v>45916</v>
      </c>
      <c r="W9" s="62">
        <v>45917</v>
      </c>
      <c r="X9" s="62">
        <v>45918</v>
      </c>
      <c r="Y9" s="62">
        <v>45919</v>
      </c>
      <c r="Z9" s="63">
        <v>45920</v>
      </c>
      <c r="AA9" s="63">
        <v>45921</v>
      </c>
      <c r="AB9" s="62">
        <v>45922</v>
      </c>
      <c r="AC9" s="62">
        <v>45923</v>
      </c>
      <c r="AD9" s="62">
        <v>45924</v>
      </c>
      <c r="AE9" s="62">
        <v>45925</v>
      </c>
      <c r="AF9" s="62">
        <v>45926</v>
      </c>
      <c r="AG9" s="63">
        <v>45927</v>
      </c>
      <c r="AH9" s="63">
        <v>45928</v>
      </c>
      <c r="AI9" s="62">
        <v>45929</v>
      </c>
      <c r="AJ9" s="64">
        <v>45930</v>
      </c>
    </row>
    <row r="10" spans="1:36" ht="13.2">
      <c r="A10" s="27" t="s">
        <v>11</v>
      </c>
      <c r="B10" s="7" t="s">
        <v>12</v>
      </c>
      <c r="C10" s="7">
        <v>175</v>
      </c>
      <c r="D10" s="7" t="s">
        <v>13</v>
      </c>
      <c r="E10" s="8">
        <f>SUM($G10:$AJ10)</f>
        <v>15925</v>
      </c>
      <c r="F10" s="9" t="s">
        <v>0</v>
      </c>
      <c r="G10" s="10">
        <v>1400</v>
      </c>
      <c r="H10" s="10">
        <v>875</v>
      </c>
      <c r="I10" s="10"/>
      <c r="J10" s="11"/>
      <c r="K10" s="6"/>
      <c r="L10" s="11"/>
      <c r="M10" s="11"/>
      <c r="N10" s="11">
        <v>1750</v>
      </c>
      <c r="O10" s="12">
        <v>1750</v>
      </c>
      <c r="P10" s="12"/>
      <c r="Q10" s="12"/>
      <c r="R10" s="13"/>
      <c r="S10" s="12"/>
      <c r="T10" s="12"/>
      <c r="U10" s="12">
        <v>1400</v>
      </c>
      <c r="V10" s="12">
        <v>1400</v>
      </c>
      <c r="W10" s="12">
        <v>1400</v>
      </c>
      <c r="X10" s="12"/>
      <c r="Y10" s="13"/>
      <c r="Z10" s="12"/>
      <c r="AA10" s="12"/>
      <c r="AB10" s="12">
        <v>1575</v>
      </c>
      <c r="AC10" s="12">
        <v>1575</v>
      </c>
      <c r="AD10" s="12">
        <v>875</v>
      </c>
      <c r="AE10" s="12"/>
      <c r="AF10" s="13"/>
      <c r="AG10" s="12"/>
      <c r="AH10" s="12"/>
      <c r="AI10" s="12">
        <v>1925</v>
      </c>
      <c r="AJ10" s="28"/>
    </row>
    <row r="11" spans="1:36" ht="13.2">
      <c r="A11" s="27" t="s">
        <v>11</v>
      </c>
      <c r="B11" s="7" t="s">
        <v>14</v>
      </c>
      <c r="C11" s="7">
        <v>175</v>
      </c>
      <c r="D11" s="7" t="s">
        <v>15</v>
      </c>
      <c r="E11" s="8">
        <f t="shared" ref="E11:E55" si="4">SUM($G11:$AJ11)</f>
        <v>0</v>
      </c>
      <c r="F11" s="9" t="s">
        <v>0</v>
      </c>
      <c r="G11" s="6"/>
      <c r="H11" s="6"/>
      <c r="I11" s="6"/>
      <c r="J11" s="14"/>
      <c r="K11" s="14"/>
      <c r="L11" s="14"/>
      <c r="M11" s="14"/>
      <c r="N11" s="6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29"/>
    </row>
    <row r="12" spans="1:36" ht="13.2">
      <c r="A12" s="27" t="s">
        <v>11</v>
      </c>
      <c r="B12" s="7" t="s">
        <v>16</v>
      </c>
      <c r="C12" s="7">
        <v>175</v>
      </c>
      <c r="D12" s="7" t="s">
        <v>99</v>
      </c>
      <c r="E12" s="8">
        <f t="shared" si="4"/>
        <v>4025</v>
      </c>
      <c r="F12" s="9" t="s">
        <v>0</v>
      </c>
      <c r="G12" s="6"/>
      <c r="H12" s="6"/>
      <c r="I12" s="6">
        <v>1750</v>
      </c>
      <c r="J12" s="14"/>
      <c r="K12" s="14"/>
      <c r="L12" s="14"/>
      <c r="M12" s="14"/>
      <c r="N12" s="14"/>
      <c r="O12" s="12"/>
      <c r="P12" s="12">
        <v>1575</v>
      </c>
      <c r="Q12" s="12"/>
      <c r="R12" s="13"/>
      <c r="S12" s="12"/>
      <c r="T12" s="12"/>
      <c r="U12" s="12"/>
      <c r="V12" s="12"/>
      <c r="W12" s="12"/>
      <c r="X12" s="12"/>
      <c r="Y12" s="13"/>
      <c r="Z12" s="12"/>
      <c r="AA12" s="12"/>
      <c r="AB12" s="12"/>
      <c r="AC12" s="12"/>
      <c r="AD12" s="13">
        <v>700</v>
      </c>
      <c r="AE12" s="12"/>
      <c r="AF12" s="12"/>
      <c r="AG12" s="12"/>
      <c r="AH12" s="12"/>
      <c r="AI12" s="12"/>
      <c r="AJ12" s="29"/>
    </row>
    <row r="13" spans="1:36" ht="13.2">
      <c r="A13" s="27" t="s">
        <v>11</v>
      </c>
      <c r="B13" s="7" t="s">
        <v>17</v>
      </c>
      <c r="C13" s="7">
        <v>200</v>
      </c>
      <c r="D13" s="7" t="s">
        <v>18</v>
      </c>
      <c r="E13" s="8">
        <f t="shared" si="4"/>
        <v>0</v>
      </c>
      <c r="F13" s="9" t="s">
        <v>0</v>
      </c>
      <c r="G13" s="6"/>
      <c r="H13" s="6"/>
      <c r="I13" s="6"/>
      <c r="J13" s="6"/>
      <c r="K13" s="14"/>
      <c r="L13" s="6"/>
      <c r="M13" s="6"/>
      <c r="N13" s="6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29"/>
    </row>
    <row r="14" spans="1:36" ht="13.2">
      <c r="A14" s="27" t="s">
        <v>19</v>
      </c>
      <c r="B14" s="7" t="s">
        <v>20</v>
      </c>
      <c r="C14" s="7">
        <v>200</v>
      </c>
      <c r="D14" s="7" t="s">
        <v>21</v>
      </c>
      <c r="E14" s="8">
        <f t="shared" si="4"/>
        <v>25400</v>
      </c>
      <c r="F14" s="9" t="s">
        <v>0</v>
      </c>
      <c r="G14" s="11">
        <v>1200</v>
      </c>
      <c r="H14" s="10">
        <v>1200</v>
      </c>
      <c r="I14" s="11">
        <v>1200</v>
      </c>
      <c r="J14" s="6">
        <v>1200</v>
      </c>
      <c r="K14" s="14">
        <v>1200</v>
      </c>
      <c r="L14" s="11"/>
      <c r="M14" s="10"/>
      <c r="N14" s="6">
        <v>1200</v>
      </c>
      <c r="O14" s="13">
        <v>1200</v>
      </c>
      <c r="P14" s="13">
        <v>1200</v>
      </c>
      <c r="Q14" s="13">
        <v>1200</v>
      </c>
      <c r="R14" s="13">
        <v>1200</v>
      </c>
      <c r="S14" s="12"/>
      <c r="T14" s="12"/>
      <c r="U14" s="13">
        <v>1200</v>
      </c>
      <c r="V14" s="13">
        <v>1200</v>
      </c>
      <c r="W14" s="13">
        <v>1200</v>
      </c>
      <c r="X14" s="13">
        <v>1200</v>
      </c>
      <c r="Y14" s="13">
        <v>1200</v>
      </c>
      <c r="Z14" s="12"/>
      <c r="AA14" s="12"/>
      <c r="AB14" s="13">
        <v>1800</v>
      </c>
      <c r="AC14" s="13">
        <v>1200</v>
      </c>
      <c r="AD14" s="13">
        <v>1200</v>
      </c>
      <c r="AE14" s="13">
        <v>1200</v>
      </c>
      <c r="AF14" s="13">
        <v>1200</v>
      </c>
      <c r="AG14" s="12"/>
      <c r="AH14" s="12"/>
      <c r="AI14" s="13">
        <v>800</v>
      </c>
      <c r="AJ14" s="29"/>
    </row>
    <row r="15" spans="1:36" ht="13.2">
      <c r="A15" s="27" t="s">
        <v>19</v>
      </c>
      <c r="B15" s="7" t="s">
        <v>22</v>
      </c>
      <c r="C15" s="7">
        <v>200</v>
      </c>
      <c r="D15" s="7" t="s">
        <v>23</v>
      </c>
      <c r="E15" s="8">
        <f t="shared" si="4"/>
        <v>0</v>
      </c>
      <c r="F15" s="9" t="s">
        <v>0</v>
      </c>
      <c r="G15" s="6"/>
      <c r="H15" s="6"/>
      <c r="I15" s="6"/>
      <c r="J15" s="6"/>
      <c r="K15" s="14"/>
      <c r="L15" s="6"/>
      <c r="M15" s="6"/>
      <c r="N15" s="6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29"/>
    </row>
    <row r="16" spans="1:36" ht="13.2">
      <c r="A16" s="27" t="s">
        <v>11</v>
      </c>
      <c r="B16" s="7" t="s">
        <v>24</v>
      </c>
      <c r="C16" s="7">
        <v>175</v>
      </c>
      <c r="D16" s="7" t="s">
        <v>25</v>
      </c>
      <c r="E16" s="8">
        <f t="shared" si="4"/>
        <v>0</v>
      </c>
      <c r="F16" s="9" t="s">
        <v>0</v>
      </c>
      <c r="G16" s="6"/>
      <c r="H16" s="6"/>
      <c r="I16" s="6"/>
      <c r="J16" s="6"/>
      <c r="K16" s="6"/>
      <c r="L16" s="6"/>
      <c r="M16" s="6"/>
      <c r="N16" s="6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29"/>
    </row>
    <row r="17" spans="1:36" ht="13.2">
      <c r="A17" s="27" t="s">
        <v>11</v>
      </c>
      <c r="B17" s="7" t="s">
        <v>24</v>
      </c>
      <c r="C17" s="7">
        <v>175</v>
      </c>
      <c r="D17" s="7" t="s">
        <v>26</v>
      </c>
      <c r="E17" s="8">
        <f t="shared" si="4"/>
        <v>0</v>
      </c>
      <c r="F17" s="9" t="s">
        <v>0</v>
      </c>
      <c r="G17" s="11"/>
      <c r="H17" s="11"/>
      <c r="I17" s="11"/>
      <c r="J17" s="11"/>
      <c r="K17" s="11"/>
      <c r="L17" s="11"/>
      <c r="M17" s="11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29"/>
    </row>
    <row r="18" spans="1:36" ht="13.2">
      <c r="A18" s="27" t="s">
        <v>11</v>
      </c>
      <c r="B18" s="7" t="s">
        <v>27</v>
      </c>
      <c r="C18" s="7">
        <v>175</v>
      </c>
      <c r="D18" s="7" t="s">
        <v>28</v>
      </c>
      <c r="E18" s="8">
        <f t="shared" si="4"/>
        <v>0</v>
      </c>
      <c r="F18" s="9" t="s">
        <v>0</v>
      </c>
      <c r="G18" s="6"/>
      <c r="H18" s="6"/>
      <c r="I18" s="6"/>
      <c r="J18" s="6"/>
      <c r="K18" s="6"/>
      <c r="L18" s="6"/>
      <c r="M18" s="6"/>
      <c r="N18" s="6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29"/>
    </row>
    <row r="19" spans="1:36" ht="13.2">
      <c r="A19" s="27" t="s">
        <v>11</v>
      </c>
      <c r="B19" s="7" t="s">
        <v>27</v>
      </c>
      <c r="C19" s="7">
        <v>175</v>
      </c>
      <c r="D19" s="7" t="s">
        <v>29</v>
      </c>
      <c r="E19" s="8">
        <f t="shared" si="4"/>
        <v>0</v>
      </c>
      <c r="F19" s="9" t="s">
        <v>0</v>
      </c>
      <c r="G19" s="14"/>
      <c r="H19" s="14"/>
      <c r="I19" s="14"/>
      <c r="J19" s="14"/>
      <c r="K19" s="14"/>
      <c r="L19" s="14"/>
      <c r="M19" s="14"/>
      <c r="N19" s="14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29"/>
    </row>
    <row r="20" spans="1:36" ht="13.2">
      <c r="A20" s="81" t="s">
        <v>11</v>
      </c>
      <c r="B20" s="7" t="s">
        <v>30</v>
      </c>
      <c r="C20" s="7">
        <v>175</v>
      </c>
      <c r="D20" s="7" t="s">
        <v>31</v>
      </c>
      <c r="E20" s="8">
        <f t="shared" si="4"/>
        <v>13300</v>
      </c>
      <c r="F20" s="82" t="s">
        <v>0</v>
      </c>
      <c r="G20" s="12"/>
      <c r="H20" s="12"/>
      <c r="I20" s="12"/>
      <c r="J20" s="12">
        <v>1225</v>
      </c>
      <c r="K20" s="13">
        <v>1400</v>
      </c>
      <c r="L20" s="12"/>
      <c r="M20" s="12"/>
      <c r="N20" s="12"/>
      <c r="O20" s="12"/>
      <c r="P20" s="12"/>
      <c r="Q20" s="12">
        <v>1575</v>
      </c>
      <c r="R20" s="13">
        <v>1750</v>
      </c>
      <c r="S20" s="12"/>
      <c r="T20" s="12"/>
      <c r="U20" s="12"/>
      <c r="V20" s="12"/>
      <c r="W20" s="12"/>
      <c r="X20" s="12">
        <v>1400</v>
      </c>
      <c r="Y20" s="13">
        <v>1400</v>
      </c>
      <c r="Z20" s="12"/>
      <c r="AA20" s="12"/>
      <c r="AB20" s="12"/>
      <c r="AC20" s="12"/>
      <c r="AD20" s="12"/>
      <c r="AE20" s="12">
        <v>1575</v>
      </c>
      <c r="AF20" s="13">
        <v>1575</v>
      </c>
      <c r="AG20" s="12"/>
      <c r="AH20" s="12"/>
      <c r="AI20" s="12"/>
      <c r="AJ20" s="28">
        <v>1400</v>
      </c>
    </row>
    <row r="21" spans="1:36" ht="13.2">
      <c r="A21" s="30" t="s">
        <v>11</v>
      </c>
      <c r="B21" s="16" t="s">
        <v>30</v>
      </c>
      <c r="C21" s="15">
        <v>125</v>
      </c>
      <c r="D21" s="16" t="s">
        <v>31</v>
      </c>
      <c r="E21" s="17">
        <f t="shared" si="4"/>
        <v>0</v>
      </c>
      <c r="F21" s="18" t="s">
        <v>1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32"/>
    </row>
    <row r="22" spans="1:36" ht="13.2">
      <c r="A22" s="30" t="s">
        <v>32</v>
      </c>
      <c r="B22" s="16" t="s">
        <v>33</v>
      </c>
      <c r="C22" s="15">
        <v>125</v>
      </c>
      <c r="D22" s="16" t="s">
        <v>34</v>
      </c>
      <c r="E22" s="17">
        <f t="shared" si="4"/>
        <v>0</v>
      </c>
      <c r="F22" s="18" t="s">
        <v>1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32"/>
    </row>
    <row r="23" spans="1:36" ht="13.2">
      <c r="A23" s="30" t="s">
        <v>32</v>
      </c>
      <c r="B23" s="16" t="s">
        <v>35</v>
      </c>
      <c r="C23" s="15">
        <v>125</v>
      </c>
      <c r="D23" s="16" t="s">
        <v>36</v>
      </c>
      <c r="E23" s="17">
        <f t="shared" si="4"/>
        <v>0</v>
      </c>
      <c r="F23" s="18" t="s">
        <v>1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32"/>
    </row>
    <row r="24" spans="1:36" ht="13.2">
      <c r="A24" s="30" t="s">
        <v>32</v>
      </c>
      <c r="B24" s="16" t="s">
        <v>35</v>
      </c>
      <c r="C24" s="15">
        <v>125</v>
      </c>
      <c r="D24" s="16" t="s">
        <v>37</v>
      </c>
      <c r="E24" s="17">
        <f t="shared" si="4"/>
        <v>17375</v>
      </c>
      <c r="F24" s="18" t="s">
        <v>1</v>
      </c>
      <c r="G24" s="19"/>
      <c r="H24" s="19">
        <v>1250</v>
      </c>
      <c r="I24" s="19"/>
      <c r="J24" s="19">
        <v>1750</v>
      </c>
      <c r="K24" s="15">
        <v>1625</v>
      </c>
      <c r="L24" s="19"/>
      <c r="M24" s="19"/>
      <c r="N24" s="19"/>
      <c r="O24" s="19"/>
      <c r="P24" s="19"/>
      <c r="Q24" s="19"/>
      <c r="R24" s="19">
        <v>1500</v>
      </c>
      <c r="S24" s="19"/>
      <c r="T24" s="19"/>
      <c r="U24" s="19"/>
      <c r="V24" s="19">
        <v>2500</v>
      </c>
      <c r="W24" s="15"/>
      <c r="X24" s="19"/>
      <c r="Y24" s="19">
        <v>2250</v>
      </c>
      <c r="Z24" s="19"/>
      <c r="AA24" s="19"/>
      <c r="AB24" s="19"/>
      <c r="AC24" s="19"/>
      <c r="AD24" s="15">
        <v>2500</v>
      </c>
      <c r="AE24" s="19">
        <v>1375</v>
      </c>
      <c r="AF24" s="19">
        <v>1375</v>
      </c>
      <c r="AG24" s="19"/>
      <c r="AH24" s="19"/>
      <c r="AI24" s="15">
        <v>1250</v>
      </c>
      <c r="AJ24" s="32"/>
    </row>
    <row r="25" spans="1:36" ht="13.2">
      <c r="A25" s="30" t="s">
        <v>11</v>
      </c>
      <c r="B25" s="16" t="s">
        <v>38</v>
      </c>
      <c r="C25" s="15">
        <v>125</v>
      </c>
      <c r="D25" s="16" t="s">
        <v>39</v>
      </c>
      <c r="E25" s="17">
        <f t="shared" si="4"/>
        <v>750</v>
      </c>
      <c r="F25" s="18" t="s">
        <v>1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>
        <v>750</v>
      </c>
      <c r="AE25" s="19"/>
      <c r="AF25" s="15"/>
      <c r="AG25" s="19"/>
      <c r="AH25" s="19"/>
      <c r="AI25" s="19"/>
      <c r="AJ25" s="32"/>
    </row>
    <row r="26" spans="1:36" ht="13.2">
      <c r="A26" s="30" t="s">
        <v>11</v>
      </c>
      <c r="B26" s="16" t="s">
        <v>40</v>
      </c>
      <c r="C26" s="15">
        <v>125</v>
      </c>
      <c r="D26" s="16" t="s">
        <v>41</v>
      </c>
      <c r="E26" s="17">
        <f t="shared" si="4"/>
        <v>125</v>
      </c>
      <c r="F26" s="18" t="s">
        <v>1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>
        <v>125</v>
      </c>
      <c r="Z26" s="19"/>
      <c r="AA26" s="19"/>
      <c r="AB26" s="19"/>
      <c r="AC26" s="19"/>
      <c r="AD26" s="15"/>
      <c r="AE26" s="19"/>
      <c r="AF26" s="19"/>
      <c r="AG26" s="19"/>
      <c r="AH26" s="19"/>
      <c r="AI26" s="19"/>
      <c r="AJ26" s="32"/>
    </row>
    <row r="27" spans="1:36" ht="13.2">
      <c r="A27" s="30" t="s">
        <v>11</v>
      </c>
      <c r="B27" s="16" t="s">
        <v>42</v>
      </c>
      <c r="C27" s="15">
        <v>175</v>
      </c>
      <c r="D27" s="16" t="s">
        <v>43</v>
      </c>
      <c r="E27" s="17">
        <f t="shared" si="4"/>
        <v>0</v>
      </c>
      <c r="F27" s="18" t="s">
        <v>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32"/>
    </row>
    <row r="28" spans="1:36" ht="13.2">
      <c r="A28" s="30" t="s">
        <v>11</v>
      </c>
      <c r="B28" s="16" t="s">
        <v>44</v>
      </c>
      <c r="C28" s="15">
        <v>175</v>
      </c>
      <c r="D28" s="16" t="s">
        <v>45</v>
      </c>
      <c r="E28" s="17">
        <f t="shared" si="4"/>
        <v>7000</v>
      </c>
      <c r="F28" s="18" t="s">
        <v>1</v>
      </c>
      <c r="G28" s="19"/>
      <c r="H28" s="19"/>
      <c r="I28" s="19"/>
      <c r="J28" s="19">
        <v>1400</v>
      </c>
      <c r="K28" s="19"/>
      <c r="L28" s="19"/>
      <c r="M28" s="19"/>
      <c r="N28" s="15"/>
      <c r="O28" s="19"/>
      <c r="P28" s="19"/>
      <c r="Q28" s="19"/>
      <c r="R28" s="19">
        <v>1750</v>
      </c>
      <c r="S28" s="19"/>
      <c r="T28" s="19"/>
      <c r="U28" s="15"/>
      <c r="V28" s="19">
        <v>700</v>
      </c>
      <c r="W28" s="19"/>
      <c r="X28" s="19">
        <v>700</v>
      </c>
      <c r="Y28" s="19"/>
      <c r="Z28" s="19"/>
      <c r="AA28" s="19"/>
      <c r="AB28" s="15"/>
      <c r="AC28" s="19">
        <v>2450</v>
      </c>
      <c r="AD28" s="19"/>
      <c r="AE28" s="19"/>
      <c r="AF28" s="19"/>
      <c r="AG28" s="19"/>
      <c r="AH28" s="19"/>
      <c r="AI28" s="19"/>
      <c r="AJ28" s="31"/>
    </row>
    <row r="29" spans="1:36" ht="13.2">
      <c r="A29" s="30" t="s">
        <v>11</v>
      </c>
      <c r="B29" s="16" t="s">
        <v>46</v>
      </c>
      <c r="C29" s="15">
        <v>175</v>
      </c>
      <c r="D29" s="16" t="s">
        <v>47</v>
      </c>
      <c r="E29" s="17">
        <f t="shared" si="4"/>
        <v>7350</v>
      </c>
      <c r="F29" s="18" t="s">
        <v>1</v>
      </c>
      <c r="G29" s="19"/>
      <c r="H29" s="19">
        <v>1925</v>
      </c>
      <c r="I29" s="19"/>
      <c r="J29" s="19"/>
      <c r="K29" s="19">
        <v>1050</v>
      </c>
      <c r="L29" s="19"/>
      <c r="M29" s="19"/>
      <c r="N29" s="15"/>
      <c r="O29" s="19"/>
      <c r="P29" s="19"/>
      <c r="Q29" s="19">
        <v>1400</v>
      </c>
      <c r="R29" s="19"/>
      <c r="S29" s="19"/>
      <c r="T29" s="19"/>
      <c r="U29" s="15"/>
      <c r="V29" s="19"/>
      <c r="W29" s="19"/>
      <c r="X29" s="19">
        <v>2450</v>
      </c>
      <c r="Y29" s="19"/>
      <c r="Z29" s="19"/>
      <c r="AA29" s="19"/>
      <c r="AB29" s="15"/>
      <c r="AC29" s="19">
        <v>525</v>
      </c>
      <c r="AD29" s="19"/>
      <c r="AE29" s="19"/>
      <c r="AF29" s="19"/>
      <c r="AG29" s="19"/>
      <c r="AH29" s="19"/>
      <c r="AI29" s="19"/>
      <c r="AJ29" s="31"/>
    </row>
    <row r="30" spans="1:36" ht="13.2">
      <c r="A30" s="30" t="s">
        <v>11</v>
      </c>
      <c r="B30" s="16" t="s">
        <v>48</v>
      </c>
      <c r="C30" s="15">
        <v>175</v>
      </c>
      <c r="D30" s="16" t="s">
        <v>49</v>
      </c>
      <c r="E30" s="17">
        <f t="shared" si="4"/>
        <v>2800</v>
      </c>
      <c r="F30" s="18" t="s">
        <v>1</v>
      </c>
      <c r="G30" s="19"/>
      <c r="H30" s="19"/>
      <c r="I30" s="19"/>
      <c r="J30" s="19"/>
      <c r="K30" s="19"/>
      <c r="L30" s="19"/>
      <c r="M30" s="19"/>
      <c r="N30" s="19"/>
      <c r="O30" s="19">
        <v>700</v>
      </c>
      <c r="P30" s="19"/>
      <c r="Q30" s="19"/>
      <c r="R30" s="19"/>
      <c r="S30" s="19"/>
      <c r="T30" s="19"/>
      <c r="U30" s="19"/>
      <c r="V30" s="15"/>
      <c r="W30" s="19"/>
      <c r="X30" s="19"/>
      <c r="Y30" s="19">
        <v>700</v>
      </c>
      <c r="Z30" s="19"/>
      <c r="AA30" s="19"/>
      <c r="AB30" s="19"/>
      <c r="AC30" s="15"/>
      <c r="AD30" s="19"/>
      <c r="AE30" s="19">
        <v>1400</v>
      </c>
      <c r="AF30" s="19"/>
      <c r="AG30" s="19"/>
      <c r="AH30" s="19"/>
      <c r="AI30" s="15"/>
      <c r="AJ30" s="32"/>
    </row>
    <row r="31" spans="1:36" ht="13.2">
      <c r="A31" s="30" t="s">
        <v>11</v>
      </c>
      <c r="B31" s="16" t="s">
        <v>50</v>
      </c>
      <c r="C31" s="15">
        <v>180</v>
      </c>
      <c r="D31" s="16" t="s">
        <v>51</v>
      </c>
      <c r="E31" s="17">
        <f t="shared" si="4"/>
        <v>3600</v>
      </c>
      <c r="F31" s="18" t="s">
        <v>1</v>
      </c>
      <c r="G31" s="19"/>
      <c r="H31" s="19"/>
      <c r="I31" s="19">
        <v>900</v>
      </c>
      <c r="J31" s="19"/>
      <c r="K31" s="15"/>
      <c r="L31" s="19"/>
      <c r="M31" s="19"/>
      <c r="N31" s="19"/>
      <c r="O31" s="19">
        <v>1800</v>
      </c>
      <c r="P31" s="19"/>
      <c r="Q31" s="19"/>
      <c r="R31" s="15"/>
      <c r="S31" s="19"/>
      <c r="T31" s="19"/>
      <c r="U31" s="19"/>
      <c r="V31" s="19"/>
      <c r="W31" s="19"/>
      <c r="X31" s="19"/>
      <c r="Y31" s="15"/>
      <c r="Z31" s="19"/>
      <c r="AA31" s="19"/>
      <c r="AB31" s="19"/>
      <c r="AC31" s="19"/>
      <c r="AD31" s="15"/>
      <c r="AE31" s="19"/>
      <c r="AF31" s="19">
        <v>900</v>
      </c>
      <c r="AG31" s="19"/>
      <c r="AH31" s="19"/>
      <c r="AI31" s="19"/>
      <c r="AJ31" s="32"/>
    </row>
    <row r="32" spans="1:36" ht="13.2">
      <c r="A32" s="30" t="s">
        <v>11</v>
      </c>
      <c r="B32" s="16" t="s">
        <v>52</v>
      </c>
      <c r="C32" s="15">
        <v>180</v>
      </c>
      <c r="D32" s="16" t="s">
        <v>53</v>
      </c>
      <c r="E32" s="17">
        <f t="shared" si="4"/>
        <v>0</v>
      </c>
      <c r="F32" s="18" t="s">
        <v>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32"/>
    </row>
    <row r="33" spans="1:36" ht="13.2">
      <c r="A33" s="33" t="s">
        <v>19</v>
      </c>
      <c r="B33" s="21" t="s">
        <v>54</v>
      </c>
      <c r="C33" s="20">
        <v>200</v>
      </c>
      <c r="D33" s="21" t="s">
        <v>55</v>
      </c>
      <c r="E33" s="17">
        <f t="shared" si="4"/>
        <v>4000</v>
      </c>
      <c r="F33" s="18" t="s">
        <v>1</v>
      </c>
      <c r="G33" s="19">
        <v>200</v>
      </c>
      <c r="H33" s="19"/>
      <c r="I33" s="19">
        <v>200</v>
      </c>
      <c r="J33" s="19"/>
      <c r="K33" s="19"/>
      <c r="L33" s="19"/>
      <c r="M33" s="19"/>
      <c r="N33" s="19">
        <v>200</v>
      </c>
      <c r="O33" s="19"/>
      <c r="P33" s="19">
        <v>1400</v>
      </c>
      <c r="Q33" s="19"/>
      <c r="R33" s="15"/>
      <c r="S33" s="19"/>
      <c r="T33" s="19"/>
      <c r="U33" s="19"/>
      <c r="V33" s="19"/>
      <c r="W33" s="19"/>
      <c r="X33" s="19"/>
      <c r="Y33" s="19"/>
      <c r="Z33" s="19"/>
      <c r="AA33" s="19"/>
      <c r="AB33" s="19">
        <v>2000</v>
      </c>
      <c r="AC33" s="19"/>
      <c r="AD33" s="19"/>
      <c r="AE33" s="19"/>
      <c r="AF33" s="15"/>
      <c r="AG33" s="19"/>
      <c r="AH33" s="19"/>
      <c r="AI33" s="19"/>
      <c r="AJ33" s="32"/>
    </row>
    <row r="34" spans="1:36" ht="13.2">
      <c r="A34" s="33" t="s">
        <v>19</v>
      </c>
      <c r="B34" s="21" t="s">
        <v>56</v>
      </c>
      <c r="C34" s="20">
        <v>180</v>
      </c>
      <c r="D34" s="21" t="s">
        <v>57</v>
      </c>
      <c r="E34" s="17">
        <f t="shared" si="4"/>
        <v>1620</v>
      </c>
      <c r="F34" s="18" t="s">
        <v>1</v>
      </c>
      <c r="G34" s="19"/>
      <c r="H34" s="19"/>
      <c r="I34" s="15">
        <v>180</v>
      </c>
      <c r="J34" s="19"/>
      <c r="K34" s="19">
        <v>180</v>
      </c>
      <c r="L34" s="19"/>
      <c r="M34" s="19"/>
      <c r="N34" s="15">
        <v>360</v>
      </c>
      <c r="O34" s="19"/>
      <c r="P34" s="15"/>
      <c r="Q34" s="19"/>
      <c r="R34" s="19"/>
      <c r="S34" s="19"/>
      <c r="T34" s="19"/>
      <c r="U34" s="15">
        <v>360</v>
      </c>
      <c r="V34" s="19"/>
      <c r="W34" s="15">
        <v>360</v>
      </c>
      <c r="X34" s="19"/>
      <c r="Y34" s="19"/>
      <c r="Z34" s="19"/>
      <c r="AA34" s="19"/>
      <c r="AB34" s="15"/>
      <c r="AC34" s="19"/>
      <c r="AD34" s="15"/>
      <c r="AE34" s="19"/>
      <c r="AF34" s="19">
        <v>180</v>
      </c>
      <c r="AG34" s="19"/>
      <c r="AH34" s="19"/>
      <c r="AI34" s="19"/>
      <c r="AJ34" s="32"/>
    </row>
    <row r="35" spans="1:36" ht="13.2">
      <c r="A35" s="33" t="s">
        <v>19</v>
      </c>
      <c r="B35" s="21" t="s">
        <v>58</v>
      </c>
      <c r="C35" s="20">
        <v>180</v>
      </c>
      <c r="D35" s="21" t="s">
        <v>59</v>
      </c>
      <c r="E35" s="17">
        <f t="shared" si="4"/>
        <v>3600</v>
      </c>
      <c r="F35" s="18" t="s">
        <v>1</v>
      </c>
      <c r="G35" s="15">
        <v>360</v>
      </c>
      <c r="H35" s="19"/>
      <c r="I35" s="15"/>
      <c r="J35" s="19"/>
      <c r="K35" s="15">
        <v>360</v>
      </c>
      <c r="L35" s="19"/>
      <c r="M35" s="19"/>
      <c r="N35" s="15">
        <v>540</v>
      </c>
      <c r="O35" s="19"/>
      <c r="P35" s="15">
        <v>360</v>
      </c>
      <c r="Q35" s="19"/>
      <c r="R35" s="15"/>
      <c r="S35" s="19"/>
      <c r="T35" s="19"/>
      <c r="U35" s="15">
        <v>540</v>
      </c>
      <c r="V35" s="19"/>
      <c r="W35" s="15">
        <v>720</v>
      </c>
      <c r="X35" s="19"/>
      <c r="Y35" s="15"/>
      <c r="Z35" s="19"/>
      <c r="AA35" s="19"/>
      <c r="AB35" s="15">
        <v>540</v>
      </c>
      <c r="AC35" s="19"/>
      <c r="AD35" s="15"/>
      <c r="AE35" s="19"/>
      <c r="AF35" s="15">
        <v>180</v>
      </c>
      <c r="AG35" s="19"/>
      <c r="AH35" s="19"/>
      <c r="AI35" s="19"/>
      <c r="AJ35" s="32"/>
    </row>
    <row r="36" spans="1:36" ht="13.2">
      <c r="A36" s="33" t="s">
        <v>19</v>
      </c>
      <c r="B36" s="21" t="s">
        <v>60</v>
      </c>
      <c r="C36" s="20">
        <v>180</v>
      </c>
      <c r="D36" s="21" t="s">
        <v>61</v>
      </c>
      <c r="E36" s="17">
        <f t="shared" si="4"/>
        <v>3780</v>
      </c>
      <c r="F36" s="18" t="s">
        <v>1</v>
      </c>
      <c r="G36" s="15">
        <v>360</v>
      </c>
      <c r="H36" s="19"/>
      <c r="I36" s="15"/>
      <c r="J36" s="19">
        <v>360</v>
      </c>
      <c r="K36" s="15">
        <v>180</v>
      </c>
      <c r="L36" s="19"/>
      <c r="M36" s="19"/>
      <c r="N36" s="15">
        <v>540</v>
      </c>
      <c r="O36" s="19"/>
      <c r="P36" s="15">
        <v>180</v>
      </c>
      <c r="Q36" s="19"/>
      <c r="R36" s="15"/>
      <c r="S36" s="19"/>
      <c r="T36" s="19"/>
      <c r="U36" s="15">
        <v>540</v>
      </c>
      <c r="V36" s="19"/>
      <c r="W36" s="15">
        <v>720</v>
      </c>
      <c r="X36" s="19"/>
      <c r="Y36" s="15"/>
      <c r="Z36" s="19"/>
      <c r="AA36" s="19"/>
      <c r="AB36" s="15">
        <v>540</v>
      </c>
      <c r="AC36" s="19"/>
      <c r="AD36" s="15"/>
      <c r="AE36" s="19"/>
      <c r="AF36" s="15">
        <v>360</v>
      </c>
      <c r="AG36" s="19"/>
      <c r="AH36" s="19"/>
      <c r="AI36" s="15"/>
      <c r="AJ36" s="32"/>
    </row>
    <row r="37" spans="1:36" ht="13.2">
      <c r="A37" s="33" t="s">
        <v>19</v>
      </c>
      <c r="B37" s="21" t="s">
        <v>62</v>
      </c>
      <c r="C37" s="20">
        <v>180</v>
      </c>
      <c r="D37" s="21" t="s">
        <v>63</v>
      </c>
      <c r="E37" s="17">
        <f t="shared" si="4"/>
        <v>1800</v>
      </c>
      <c r="F37" s="18" t="s">
        <v>1</v>
      </c>
      <c r="G37" s="19"/>
      <c r="H37" s="19">
        <v>180</v>
      </c>
      <c r="I37" s="19"/>
      <c r="J37" s="15">
        <v>180</v>
      </c>
      <c r="K37" s="19"/>
      <c r="L37" s="19"/>
      <c r="M37" s="19"/>
      <c r="N37" s="19"/>
      <c r="O37" s="19">
        <v>180</v>
      </c>
      <c r="P37" s="19"/>
      <c r="Q37" s="19">
        <v>180</v>
      </c>
      <c r="R37" s="19"/>
      <c r="S37" s="19"/>
      <c r="T37" s="19"/>
      <c r="U37" s="19"/>
      <c r="V37" s="19">
        <v>180</v>
      </c>
      <c r="W37" s="19"/>
      <c r="X37" s="15">
        <v>180</v>
      </c>
      <c r="Y37" s="19"/>
      <c r="Z37" s="19"/>
      <c r="AA37" s="19"/>
      <c r="AB37" s="19">
        <v>180</v>
      </c>
      <c r="AC37" s="19"/>
      <c r="AD37" s="19">
        <v>180</v>
      </c>
      <c r="AE37" s="19"/>
      <c r="AF37" s="19">
        <v>180</v>
      </c>
      <c r="AG37" s="19"/>
      <c r="AH37" s="19"/>
      <c r="AI37" s="19">
        <v>180</v>
      </c>
      <c r="AJ37" s="32"/>
    </row>
    <row r="38" spans="1:36" ht="13.2">
      <c r="A38" s="33" t="s">
        <v>19</v>
      </c>
      <c r="B38" s="21" t="s">
        <v>64</v>
      </c>
      <c r="C38" s="20">
        <v>175</v>
      </c>
      <c r="D38" s="21" t="s">
        <v>65</v>
      </c>
      <c r="E38" s="17">
        <f t="shared" si="4"/>
        <v>875</v>
      </c>
      <c r="F38" s="18" t="s">
        <v>1</v>
      </c>
      <c r="G38" s="15">
        <v>525</v>
      </c>
      <c r="H38" s="19"/>
      <c r="I38" s="15">
        <v>350</v>
      </c>
      <c r="J38" s="19"/>
      <c r="K38" s="15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32"/>
    </row>
    <row r="39" spans="1:36" ht="13.2">
      <c r="A39" s="33" t="s">
        <v>19</v>
      </c>
      <c r="B39" s="21" t="s">
        <v>66</v>
      </c>
      <c r="C39" s="20">
        <v>180</v>
      </c>
      <c r="D39" s="21" t="s">
        <v>67</v>
      </c>
      <c r="E39" s="17">
        <f t="shared" si="4"/>
        <v>2160</v>
      </c>
      <c r="F39" s="18" t="s">
        <v>1</v>
      </c>
      <c r="G39" s="15">
        <v>360</v>
      </c>
      <c r="H39" s="19"/>
      <c r="I39" s="15"/>
      <c r="J39" s="19"/>
      <c r="K39" s="15"/>
      <c r="L39" s="19"/>
      <c r="M39" s="19"/>
      <c r="N39" s="15">
        <v>360</v>
      </c>
      <c r="O39" s="19"/>
      <c r="P39" s="15">
        <v>180</v>
      </c>
      <c r="Q39" s="19"/>
      <c r="R39" s="15"/>
      <c r="S39" s="19"/>
      <c r="T39" s="19"/>
      <c r="U39" s="15">
        <v>720</v>
      </c>
      <c r="V39" s="19"/>
      <c r="W39" s="15">
        <v>540</v>
      </c>
      <c r="X39" s="19"/>
      <c r="Y39" s="15"/>
      <c r="Z39" s="19"/>
      <c r="AA39" s="19"/>
      <c r="AB39" s="15"/>
      <c r="AC39" s="19"/>
      <c r="AD39" s="15"/>
      <c r="AE39" s="19"/>
      <c r="AF39" s="15"/>
      <c r="AG39" s="19"/>
      <c r="AH39" s="19"/>
      <c r="AI39" s="15"/>
      <c r="AJ39" s="32"/>
    </row>
    <row r="40" spans="1:36" ht="13.2">
      <c r="A40" s="33" t="s">
        <v>19</v>
      </c>
      <c r="B40" s="21" t="s">
        <v>68</v>
      </c>
      <c r="C40" s="20">
        <v>180</v>
      </c>
      <c r="D40" s="21" t="s">
        <v>69</v>
      </c>
      <c r="E40" s="17">
        <f t="shared" si="4"/>
        <v>1800</v>
      </c>
      <c r="F40" s="18" t="s">
        <v>1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>
        <v>1800</v>
      </c>
      <c r="R40" s="19"/>
      <c r="S40" s="19"/>
      <c r="T40" s="15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32"/>
    </row>
    <row r="41" spans="1:36" ht="13.2">
      <c r="A41" s="33" t="s">
        <v>19</v>
      </c>
      <c r="B41" s="21" t="s">
        <v>70</v>
      </c>
      <c r="C41" s="20">
        <v>180</v>
      </c>
      <c r="D41" s="21" t="s">
        <v>71</v>
      </c>
      <c r="E41" s="17">
        <f t="shared" si="4"/>
        <v>4860</v>
      </c>
      <c r="F41" s="18" t="s">
        <v>1</v>
      </c>
      <c r="G41" s="19">
        <v>720</v>
      </c>
      <c r="H41" s="19"/>
      <c r="I41" s="19">
        <v>1080</v>
      </c>
      <c r="J41" s="19"/>
      <c r="K41" s="19"/>
      <c r="L41" s="19"/>
      <c r="M41" s="19"/>
      <c r="N41" s="19">
        <v>900</v>
      </c>
      <c r="O41" s="19"/>
      <c r="P41" s="19">
        <v>720</v>
      </c>
      <c r="Q41" s="15"/>
      <c r="R41" s="19"/>
      <c r="S41" s="19"/>
      <c r="T41" s="19"/>
      <c r="U41" s="19">
        <v>720</v>
      </c>
      <c r="V41" s="19"/>
      <c r="W41" s="19">
        <v>720</v>
      </c>
      <c r="X41" s="15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32"/>
    </row>
    <row r="42" spans="1:36" ht="13.2">
      <c r="A42" s="30" t="s">
        <v>11</v>
      </c>
      <c r="B42" s="16" t="s">
        <v>72</v>
      </c>
      <c r="C42" s="15">
        <v>180</v>
      </c>
      <c r="D42" s="16" t="s">
        <v>73</v>
      </c>
      <c r="E42" s="17">
        <f t="shared" si="4"/>
        <v>0</v>
      </c>
      <c r="F42" s="18" t="s">
        <v>1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32"/>
    </row>
    <row r="43" spans="1:36" ht="13.2">
      <c r="A43" s="30" t="s">
        <v>11</v>
      </c>
      <c r="B43" s="16" t="s">
        <v>74</v>
      </c>
      <c r="C43" s="15">
        <v>180</v>
      </c>
      <c r="D43" s="16" t="s">
        <v>75</v>
      </c>
      <c r="E43" s="17">
        <f t="shared" si="4"/>
        <v>0</v>
      </c>
      <c r="F43" s="18" t="s">
        <v>1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32"/>
    </row>
    <row r="44" spans="1:36" ht="13.2">
      <c r="A44" s="34" t="s">
        <v>11</v>
      </c>
      <c r="B44" s="23" t="s">
        <v>30</v>
      </c>
      <c r="C44" s="22">
        <v>175</v>
      </c>
      <c r="D44" s="23" t="s">
        <v>31</v>
      </c>
      <c r="E44" s="24">
        <f t="shared" si="4"/>
        <v>0</v>
      </c>
      <c r="F44" s="25" t="s">
        <v>2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35"/>
    </row>
    <row r="45" spans="1:36" ht="13.2">
      <c r="A45" s="34" t="s">
        <v>11</v>
      </c>
      <c r="B45" s="23" t="s">
        <v>76</v>
      </c>
      <c r="C45" s="22">
        <v>180</v>
      </c>
      <c r="D45" s="23" t="s">
        <v>77</v>
      </c>
      <c r="E45" s="24">
        <f t="shared" si="4"/>
        <v>3600</v>
      </c>
      <c r="F45" s="25" t="s">
        <v>2</v>
      </c>
      <c r="G45" s="26"/>
      <c r="H45" s="22">
        <v>360</v>
      </c>
      <c r="I45" s="26"/>
      <c r="J45" s="22">
        <v>360</v>
      </c>
      <c r="K45" s="26"/>
      <c r="L45" s="26"/>
      <c r="M45" s="26"/>
      <c r="N45" s="22">
        <v>360</v>
      </c>
      <c r="O45" s="26">
        <v>180</v>
      </c>
      <c r="P45" s="22"/>
      <c r="Q45" s="26"/>
      <c r="R45" s="22">
        <v>360</v>
      </c>
      <c r="S45" s="26"/>
      <c r="T45" s="26"/>
      <c r="U45" s="22">
        <v>360</v>
      </c>
      <c r="V45" s="26"/>
      <c r="W45" s="22">
        <v>180</v>
      </c>
      <c r="X45" s="26"/>
      <c r="Y45" s="22">
        <v>360</v>
      </c>
      <c r="Z45" s="26"/>
      <c r="AA45" s="26"/>
      <c r="AB45" s="22">
        <v>360</v>
      </c>
      <c r="AC45" s="26"/>
      <c r="AD45" s="22">
        <v>360</v>
      </c>
      <c r="AE45" s="26"/>
      <c r="AF45" s="22">
        <v>360</v>
      </c>
      <c r="AG45" s="26"/>
      <c r="AH45" s="26"/>
      <c r="AI45" s="26"/>
      <c r="AJ45" s="35"/>
    </row>
    <row r="46" spans="1:36" ht="13.2">
      <c r="A46" s="34" t="s">
        <v>11</v>
      </c>
      <c r="B46" s="23" t="s">
        <v>78</v>
      </c>
      <c r="C46" s="22">
        <v>210</v>
      </c>
      <c r="D46" s="23" t="s">
        <v>79</v>
      </c>
      <c r="E46" s="24">
        <f t="shared" si="4"/>
        <v>9000</v>
      </c>
      <c r="F46" s="25" t="s">
        <v>2</v>
      </c>
      <c r="G46" s="22">
        <v>900</v>
      </c>
      <c r="H46" s="22"/>
      <c r="I46" s="22">
        <v>450</v>
      </c>
      <c r="J46" s="22">
        <v>450</v>
      </c>
      <c r="K46" s="22">
        <v>450</v>
      </c>
      <c r="L46" s="26"/>
      <c r="M46" s="26"/>
      <c r="N46" s="22">
        <v>450</v>
      </c>
      <c r="O46" s="22">
        <v>450</v>
      </c>
      <c r="P46" s="22">
        <v>450</v>
      </c>
      <c r="Q46" s="22">
        <v>450</v>
      </c>
      <c r="R46" s="22">
        <v>450</v>
      </c>
      <c r="S46" s="26"/>
      <c r="T46" s="26"/>
      <c r="U46" s="22">
        <v>450</v>
      </c>
      <c r="V46" s="22">
        <v>450</v>
      </c>
      <c r="W46" s="22">
        <v>450</v>
      </c>
      <c r="X46" s="22">
        <v>450</v>
      </c>
      <c r="Y46" s="22">
        <v>450</v>
      </c>
      <c r="Z46" s="26"/>
      <c r="AA46" s="26"/>
      <c r="AB46" s="22">
        <v>450</v>
      </c>
      <c r="AC46" s="22">
        <v>900</v>
      </c>
      <c r="AD46" s="22"/>
      <c r="AE46" s="22">
        <v>450</v>
      </c>
      <c r="AF46" s="22">
        <v>450</v>
      </c>
      <c r="AG46" s="26"/>
      <c r="AH46" s="26"/>
      <c r="AI46" s="26"/>
      <c r="AJ46" s="35"/>
    </row>
    <row r="47" spans="1:36" ht="13.2">
      <c r="A47" s="34" t="s">
        <v>11</v>
      </c>
      <c r="B47" s="23" t="s">
        <v>80</v>
      </c>
      <c r="C47" s="22">
        <v>180</v>
      </c>
      <c r="D47" s="23" t="s">
        <v>81</v>
      </c>
      <c r="E47" s="24">
        <f t="shared" si="4"/>
        <v>5220</v>
      </c>
      <c r="F47" s="25" t="s">
        <v>2</v>
      </c>
      <c r="G47" s="26"/>
      <c r="H47" s="22">
        <v>360</v>
      </c>
      <c r="I47" s="26"/>
      <c r="J47" s="22">
        <v>540</v>
      </c>
      <c r="K47" s="26"/>
      <c r="L47" s="26"/>
      <c r="M47" s="26"/>
      <c r="N47" s="22">
        <v>360</v>
      </c>
      <c r="O47" s="26"/>
      <c r="P47" s="22">
        <v>540</v>
      </c>
      <c r="Q47" s="26"/>
      <c r="R47" s="22">
        <v>360</v>
      </c>
      <c r="S47" s="26"/>
      <c r="T47" s="26"/>
      <c r="U47" s="22">
        <v>360</v>
      </c>
      <c r="V47" s="26"/>
      <c r="W47" s="22">
        <v>540</v>
      </c>
      <c r="X47" s="26"/>
      <c r="Y47" s="22">
        <v>360</v>
      </c>
      <c r="Z47" s="26"/>
      <c r="AA47" s="26"/>
      <c r="AB47" s="22">
        <v>360</v>
      </c>
      <c r="AC47" s="26"/>
      <c r="AD47" s="22">
        <v>540</v>
      </c>
      <c r="AE47" s="26"/>
      <c r="AF47" s="22">
        <v>360</v>
      </c>
      <c r="AG47" s="26"/>
      <c r="AH47" s="26"/>
      <c r="AI47" s="22">
        <v>540</v>
      </c>
      <c r="AJ47" s="35"/>
    </row>
    <row r="48" spans="1:36" ht="13.2">
      <c r="A48" s="34" t="s">
        <v>11</v>
      </c>
      <c r="B48" s="23" t="s">
        <v>82</v>
      </c>
      <c r="C48" s="22">
        <v>180</v>
      </c>
      <c r="D48" s="23" t="s">
        <v>83</v>
      </c>
      <c r="E48" s="24">
        <f t="shared" si="4"/>
        <v>8520</v>
      </c>
      <c r="F48" s="25" t="s">
        <v>2</v>
      </c>
      <c r="G48" s="22">
        <v>360</v>
      </c>
      <c r="H48" s="22">
        <v>480</v>
      </c>
      <c r="I48" s="22">
        <v>720</v>
      </c>
      <c r="J48" s="22"/>
      <c r="K48" s="22">
        <v>480</v>
      </c>
      <c r="L48" s="26"/>
      <c r="M48" s="26"/>
      <c r="N48" s="22">
        <v>360</v>
      </c>
      <c r="O48" s="22">
        <v>480</v>
      </c>
      <c r="P48" s="22">
        <v>360</v>
      </c>
      <c r="Q48" s="22">
        <v>480</v>
      </c>
      <c r="R48" s="22">
        <v>360</v>
      </c>
      <c r="S48" s="26"/>
      <c r="T48" s="26"/>
      <c r="U48" s="22">
        <v>360</v>
      </c>
      <c r="V48" s="22">
        <v>480</v>
      </c>
      <c r="W48" s="22">
        <v>360</v>
      </c>
      <c r="X48" s="22">
        <v>480</v>
      </c>
      <c r="Y48" s="22">
        <v>360</v>
      </c>
      <c r="Z48" s="26"/>
      <c r="AA48" s="26"/>
      <c r="AB48" s="22">
        <v>360</v>
      </c>
      <c r="AC48" s="22">
        <v>480</v>
      </c>
      <c r="AD48" s="22">
        <v>360</v>
      </c>
      <c r="AE48" s="22">
        <v>480</v>
      </c>
      <c r="AF48" s="22">
        <v>360</v>
      </c>
      <c r="AG48" s="26"/>
      <c r="AH48" s="26"/>
      <c r="AI48" s="22">
        <v>360</v>
      </c>
      <c r="AJ48" s="35"/>
    </row>
    <row r="49" spans="1:36" ht="13.2">
      <c r="A49" s="34" t="s">
        <v>11</v>
      </c>
      <c r="B49" s="23" t="s">
        <v>84</v>
      </c>
      <c r="C49" s="22">
        <v>180</v>
      </c>
      <c r="D49" s="23" t="s">
        <v>85</v>
      </c>
      <c r="E49" s="24">
        <f t="shared" si="4"/>
        <v>22680</v>
      </c>
      <c r="F49" s="25" t="s">
        <v>2</v>
      </c>
      <c r="G49" s="22">
        <v>1080</v>
      </c>
      <c r="H49" s="22">
        <v>1080</v>
      </c>
      <c r="I49" s="22">
        <v>1080</v>
      </c>
      <c r="J49" s="22">
        <v>1080</v>
      </c>
      <c r="K49" s="22">
        <v>1080</v>
      </c>
      <c r="L49" s="26"/>
      <c r="M49" s="26"/>
      <c r="N49" s="22">
        <v>1080</v>
      </c>
      <c r="O49" s="22">
        <v>1080</v>
      </c>
      <c r="P49" s="22">
        <v>1080</v>
      </c>
      <c r="Q49" s="22">
        <v>1080</v>
      </c>
      <c r="R49" s="22">
        <v>1080</v>
      </c>
      <c r="S49" s="26"/>
      <c r="T49" s="26"/>
      <c r="U49" s="22">
        <v>1080</v>
      </c>
      <c r="V49" s="22">
        <v>1080</v>
      </c>
      <c r="W49" s="22">
        <v>1080</v>
      </c>
      <c r="X49" s="22">
        <v>1080</v>
      </c>
      <c r="Y49" s="22">
        <v>1080</v>
      </c>
      <c r="Z49" s="26"/>
      <c r="AA49" s="26"/>
      <c r="AB49" s="22">
        <v>1080</v>
      </c>
      <c r="AC49" s="22">
        <v>1080</v>
      </c>
      <c r="AD49" s="22">
        <v>1080</v>
      </c>
      <c r="AE49" s="22">
        <v>1080</v>
      </c>
      <c r="AF49" s="22">
        <v>1080</v>
      </c>
      <c r="AG49" s="26"/>
      <c r="AH49" s="26"/>
      <c r="AI49" s="22">
        <v>1080</v>
      </c>
      <c r="AJ49" s="35"/>
    </row>
    <row r="50" spans="1:36" ht="13.2">
      <c r="A50" s="34" t="s">
        <v>11</v>
      </c>
      <c r="B50" s="23" t="s">
        <v>86</v>
      </c>
      <c r="C50" s="22">
        <v>180</v>
      </c>
      <c r="D50" s="23" t="s">
        <v>87</v>
      </c>
      <c r="E50" s="24">
        <f t="shared" si="4"/>
        <v>3060</v>
      </c>
      <c r="F50" s="25" t="s">
        <v>2</v>
      </c>
      <c r="G50" s="22">
        <v>180</v>
      </c>
      <c r="H50" s="26"/>
      <c r="I50" s="22">
        <v>360</v>
      </c>
      <c r="J50" s="26"/>
      <c r="K50" s="22">
        <v>180</v>
      </c>
      <c r="L50" s="26"/>
      <c r="M50" s="26"/>
      <c r="N50" s="22">
        <v>180</v>
      </c>
      <c r="O50" s="26"/>
      <c r="P50" s="22">
        <v>360</v>
      </c>
      <c r="Q50" s="26"/>
      <c r="R50" s="22">
        <v>180</v>
      </c>
      <c r="S50" s="26"/>
      <c r="T50" s="26"/>
      <c r="U50" s="22">
        <v>180</v>
      </c>
      <c r="V50" s="26"/>
      <c r="W50" s="22">
        <v>360</v>
      </c>
      <c r="X50" s="26"/>
      <c r="Y50" s="22">
        <v>180</v>
      </c>
      <c r="Z50" s="26"/>
      <c r="AA50" s="26"/>
      <c r="AB50" s="22">
        <v>180</v>
      </c>
      <c r="AC50" s="26"/>
      <c r="AD50" s="22">
        <v>360</v>
      </c>
      <c r="AE50" s="26"/>
      <c r="AF50" s="22">
        <v>180</v>
      </c>
      <c r="AG50" s="26"/>
      <c r="AH50" s="26"/>
      <c r="AI50" s="22">
        <v>180</v>
      </c>
      <c r="AJ50" s="35"/>
    </row>
    <row r="51" spans="1:36" ht="13.2">
      <c r="A51" s="34" t="s">
        <v>11</v>
      </c>
      <c r="B51" s="23" t="s">
        <v>88</v>
      </c>
      <c r="C51" s="22">
        <v>210</v>
      </c>
      <c r="D51" s="23" t="s">
        <v>89</v>
      </c>
      <c r="E51" s="24">
        <f t="shared" si="4"/>
        <v>7800</v>
      </c>
      <c r="F51" s="25" t="s">
        <v>2</v>
      </c>
      <c r="G51" s="22">
        <v>450</v>
      </c>
      <c r="H51" s="22">
        <v>450</v>
      </c>
      <c r="I51" s="22"/>
      <c r="J51" s="22">
        <v>450</v>
      </c>
      <c r="K51" s="22">
        <v>300</v>
      </c>
      <c r="L51" s="26"/>
      <c r="M51" s="26"/>
      <c r="N51" s="22">
        <v>450</v>
      </c>
      <c r="O51" s="22">
        <v>300</v>
      </c>
      <c r="P51" s="22">
        <v>450</v>
      </c>
      <c r="Q51" s="22">
        <v>300</v>
      </c>
      <c r="R51" s="22">
        <v>450</v>
      </c>
      <c r="S51" s="26"/>
      <c r="T51" s="26"/>
      <c r="U51" s="22">
        <v>300</v>
      </c>
      <c r="V51" s="22">
        <v>450</v>
      </c>
      <c r="W51" s="22">
        <v>300</v>
      </c>
      <c r="X51" s="22">
        <v>450</v>
      </c>
      <c r="Y51" s="22">
        <v>300</v>
      </c>
      <c r="Z51" s="26"/>
      <c r="AA51" s="26"/>
      <c r="AB51" s="22">
        <v>450</v>
      </c>
      <c r="AC51" s="22">
        <v>300</v>
      </c>
      <c r="AD51" s="22">
        <v>450</v>
      </c>
      <c r="AE51" s="22">
        <v>300</v>
      </c>
      <c r="AF51" s="22">
        <v>450</v>
      </c>
      <c r="AG51" s="26"/>
      <c r="AH51" s="26"/>
      <c r="AI51" s="22">
        <v>450</v>
      </c>
      <c r="AJ51" s="35"/>
    </row>
    <row r="52" spans="1:36" ht="13.2">
      <c r="A52" s="34" t="s">
        <v>11</v>
      </c>
      <c r="B52" s="23" t="s">
        <v>90</v>
      </c>
      <c r="C52" s="22">
        <v>210</v>
      </c>
      <c r="D52" s="23" t="s">
        <v>91</v>
      </c>
      <c r="E52" s="24">
        <f t="shared" si="4"/>
        <v>5400</v>
      </c>
      <c r="F52" s="25" t="s">
        <v>2</v>
      </c>
      <c r="G52" s="22">
        <v>300</v>
      </c>
      <c r="H52" s="22">
        <v>300</v>
      </c>
      <c r="I52" s="22"/>
      <c r="J52" s="22">
        <v>300</v>
      </c>
      <c r="K52" s="22">
        <v>300</v>
      </c>
      <c r="L52" s="26"/>
      <c r="M52" s="26"/>
      <c r="N52" s="22">
        <v>300</v>
      </c>
      <c r="O52" s="22">
        <v>300</v>
      </c>
      <c r="P52" s="22">
        <v>300</v>
      </c>
      <c r="Q52" s="22">
        <v>300</v>
      </c>
      <c r="R52" s="22">
        <v>300</v>
      </c>
      <c r="S52" s="26"/>
      <c r="T52" s="26"/>
      <c r="U52" s="22">
        <v>300</v>
      </c>
      <c r="V52" s="22">
        <v>300</v>
      </c>
      <c r="W52" s="22">
        <v>300</v>
      </c>
      <c r="X52" s="22">
        <v>300</v>
      </c>
      <c r="Y52" s="22">
        <v>300</v>
      </c>
      <c r="Z52" s="26"/>
      <c r="AA52" s="26"/>
      <c r="AB52" s="22">
        <v>300</v>
      </c>
      <c r="AC52" s="22">
        <v>150</v>
      </c>
      <c r="AD52" s="22">
        <v>300</v>
      </c>
      <c r="AE52" s="22">
        <v>150</v>
      </c>
      <c r="AF52" s="22">
        <v>300</v>
      </c>
      <c r="AG52" s="26"/>
      <c r="AH52" s="26"/>
      <c r="AI52" s="26"/>
      <c r="AJ52" s="35"/>
    </row>
    <row r="53" spans="1:36" ht="13.2">
      <c r="A53" s="34" t="s">
        <v>11</v>
      </c>
      <c r="B53" s="23" t="s">
        <v>92</v>
      </c>
      <c r="C53" s="22">
        <v>180</v>
      </c>
      <c r="D53" s="23" t="s">
        <v>93</v>
      </c>
      <c r="E53" s="24">
        <f t="shared" si="4"/>
        <v>1260</v>
      </c>
      <c r="F53" s="25" t="s">
        <v>2</v>
      </c>
      <c r="G53" s="26"/>
      <c r="H53" s="22">
        <v>180</v>
      </c>
      <c r="I53" s="26"/>
      <c r="J53" s="22">
        <v>180</v>
      </c>
      <c r="K53" s="26"/>
      <c r="L53" s="26"/>
      <c r="M53" s="26"/>
      <c r="N53" s="26"/>
      <c r="O53" s="22">
        <v>180</v>
      </c>
      <c r="P53" s="26"/>
      <c r="Q53" s="22">
        <v>180</v>
      </c>
      <c r="R53" s="26"/>
      <c r="S53" s="26"/>
      <c r="T53" s="26"/>
      <c r="U53" s="26"/>
      <c r="V53" s="22">
        <v>180</v>
      </c>
      <c r="W53" s="26"/>
      <c r="X53" s="22">
        <v>180</v>
      </c>
      <c r="Y53" s="26"/>
      <c r="Z53" s="26"/>
      <c r="AA53" s="26"/>
      <c r="AB53" s="26"/>
      <c r="AC53" s="22">
        <v>180</v>
      </c>
      <c r="AD53" s="26"/>
      <c r="AE53" s="26"/>
      <c r="AF53" s="26"/>
      <c r="AG53" s="26"/>
      <c r="AH53" s="26"/>
      <c r="AI53" s="26"/>
      <c r="AJ53" s="35"/>
    </row>
    <row r="54" spans="1:36" ht="13.2">
      <c r="A54" s="34" t="s">
        <v>11</v>
      </c>
      <c r="B54" s="23" t="s">
        <v>94</v>
      </c>
      <c r="C54" s="22">
        <v>180</v>
      </c>
      <c r="D54" s="23" t="s">
        <v>95</v>
      </c>
      <c r="E54" s="24">
        <f t="shared" si="4"/>
        <v>3600</v>
      </c>
      <c r="F54" s="25" t="s">
        <v>2</v>
      </c>
      <c r="G54" s="26">
        <v>120</v>
      </c>
      <c r="H54" s="26">
        <v>240</v>
      </c>
      <c r="I54" s="22">
        <v>120</v>
      </c>
      <c r="J54" s="26">
        <v>240</v>
      </c>
      <c r="K54" s="22">
        <v>120</v>
      </c>
      <c r="L54" s="26"/>
      <c r="M54" s="26"/>
      <c r="N54" s="22">
        <v>120</v>
      </c>
      <c r="O54" s="26">
        <v>240</v>
      </c>
      <c r="P54" s="22">
        <v>120</v>
      </c>
      <c r="Q54" s="26">
        <v>240</v>
      </c>
      <c r="R54" s="22">
        <v>120</v>
      </c>
      <c r="S54" s="26"/>
      <c r="T54" s="26"/>
      <c r="U54" s="22">
        <v>120</v>
      </c>
      <c r="V54" s="26">
        <v>240</v>
      </c>
      <c r="W54" s="22">
        <v>120</v>
      </c>
      <c r="X54" s="26">
        <v>240</v>
      </c>
      <c r="Y54" s="22">
        <v>120</v>
      </c>
      <c r="Z54" s="26"/>
      <c r="AA54" s="26"/>
      <c r="AB54" s="22">
        <v>120</v>
      </c>
      <c r="AC54" s="26">
        <v>240</v>
      </c>
      <c r="AD54" s="22">
        <v>120</v>
      </c>
      <c r="AE54" s="26">
        <v>240</v>
      </c>
      <c r="AF54" s="22">
        <v>120</v>
      </c>
      <c r="AG54" s="26"/>
      <c r="AH54" s="26"/>
      <c r="AI54" s="22">
        <v>240</v>
      </c>
      <c r="AJ54" s="35"/>
    </row>
    <row r="55" spans="1:36" ht="13.8" thickBot="1">
      <c r="A55" s="36" t="s">
        <v>11</v>
      </c>
      <c r="B55" s="37" t="s">
        <v>96</v>
      </c>
      <c r="C55" s="38">
        <v>180</v>
      </c>
      <c r="D55" s="37" t="s">
        <v>97</v>
      </c>
      <c r="E55" s="39">
        <f t="shared" si="4"/>
        <v>180</v>
      </c>
      <c r="F55" s="40" t="s">
        <v>2</v>
      </c>
      <c r="G55" s="41"/>
      <c r="H55" s="41"/>
      <c r="I55" s="41"/>
      <c r="J55" s="41"/>
      <c r="K55" s="41"/>
      <c r="L55" s="41"/>
      <c r="M55" s="41"/>
      <c r="N55" s="41"/>
      <c r="O55" s="38">
        <v>180</v>
      </c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이소현</cp:lastModifiedBy>
  <dcterms:created xsi:type="dcterms:W3CDTF">2025-12-18T04:45:08Z</dcterms:created>
  <dcterms:modified xsi:type="dcterms:W3CDTF">2025-12-25T10:19:16Z</dcterms:modified>
</cp:coreProperties>
</file>