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새폴더\2차\"/>
    </mc:Choice>
  </mc:AlternateContent>
  <xr:revisionPtr revIDLastSave="0" documentId="13_ncr:1_{1B5DD45C-06CA-4C09-963F-2C41AA66D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8" i="1"/>
  <c r="G7" i="1"/>
  <c r="G6" i="1"/>
  <c r="E44" i="1"/>
  <c r="E45" i="1"/>
  <c r="E46" i="1"/>
  <c r="E47" i="1"/>
  <c r="E48" i="1"/>
  <c r="E49" i="1"/>
  <c r="E50" i="1"/>
  <c r="E51" i="1"/>
  <c r="E52" i="1"/>
  <c r="E53" i="1"/>
  <c r="E54" i="1"/>
  <c r="E43" i="1"/>
  <c r="E42" i="1"/>
  <c r="E11" i="1"/>
  <c r="E12" i="1"/>
  <c r="E13" i="1"/>
  <c r="E14" i="1"/>
  <c r="E15" i="1"/>
  <c r="E16" i="1"/>
  <c r="E17" i="1"/>
  <c r="E10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G5" i="1"/>
  <c r="E5" i="1" l="1"/>
  <c r="E7" i="1"/>
  <c r="E6" i="1"/>
  <c r="C4" i="1" l="1"/>
</calcChain>
</file>

<file path=xl/sharedStrings.xml><?xml version="1.0" encoding="utf-8"?>
<sst xmlns="http://schemas.openxmlformats.org/spreadsheetml/2006/main" count="220" uniqueCount="103">
  <si>
    <t>조립1</t>
  </si>
  <si>
    <t>조립2</t>
  </si>
  <si>
    <t>조립3</t>
  </si>
  <si>
    <t>구분</t>
  </si>
  <si>
    <t>CODE</t>
  </si>
  <si>
    <t>PLT</t>
  </si>
  <si>
    <t>품명</t>
  </si>
  <si>
    <t>생산 합계</t>
  </si>
  <si>
    <t>현장달력</t>
  </si>
  <si>
    <t>근무</t>
  </si>
  <si>
    <t>휴무</t>
  </si>
  <si>
    <t>LINE</t>
  </si>
  <si>
    <t>FAN</t>
  </si>
  <si>
    <t>THS0060501</t>
  </si>
  <si>
    <t>THS0082901</t>
  </si>
  <si>
    <t>THS0098600</t>
  </si>
  <si>
    <t>BERGSTROM</t>
  </si>
  <si>
    <t>A0660011C00</t>
  </si>
  <si>
    <t>WL LHD</t>
  </si>
  <si>
    <t>A0660012C00</t>
  </si>
  <si>
    <t>WL RHD</t>
  </si>
  <si>
    <t>THS0104601</t>
  </si>
  <si>
    <t>THS0065801</t>
  </si>
  <si>
    <t>MOTOR</t>
  </si>
  <si>
    <t>THS0070200</t>
  </si>
  <si>
    <t>THS0107200</t>
  </si>
  <si>
    <t>THS0105700</t>
  </si>
  <si>
    <t>THS0107300</t>
  </si>
  <si>
    <t>THS0066000</t>
  </si>
  <si>
    <t>V710 CW(RHD)</t>
  </si>
  <si>
    <t>THS0065900</t>
  </si>
  <si>
    <t>V710 CCW(LHD)</t>
  </si>
  <si>
    <t>THS0071700</t>
  </si>
  <si>
    <t>V710 AUX</t>
  </si>
  <si>
    <t>THS0131001</t>
  </si>
  <si>
    <t>THS0132300</t>
  </si>
  <si>
    <t>THS0090903</t>
  </si>
  <si>
    <t>MBL/MET</t>
  </si>
  <si>
    <t>THS0120400</t>
  </si>
  <si>
    <t>W601</t>
  </si>
  <si>
    <t>THS0080704</t>
  </si>
  <si>
    <t>TAM EV</t>
  </si>
  <si>
    <t>THS0128300</t>
  </si>
  <si>
    <t>NX4 RHD</t>
  </si>
  <si>
    <t>THS0125301</t>
  </si>
  <si>
    <t>AX EV LHD</t>
  </si>
  <si>
    <t>THS0128001</t>
  </si>
  <si>
    <t>AX EV RHD</t>
  </si>
  <si>
    <t>THS0136900</t>
  </si>
  <si>
    <t>SU2I</t>
  </si>
  <si>
    <t>THS0189101</t>
  </si>
  <si>
    <t>SW (두원) CCW</t>
  </si>
  <si>
    <t>THS0189401</t>
  </si>
  <si>
    <t>SW (두원) CW</t>
  </si>
  <si>
    <t>THS0066100</t>
  </si>
  <si>
    <t>PACCARLHD</t>
  </si>
  <si>
    <t>THS0066200</t>
  </si>
  <si>
    <t>PACCARRHD</t>
  </si>
  <si>
    <t>THS0135900</t>
  </si>
  <si>
    <t>NAVISTAR</t>
  </si>
  <si>
    <t>THS0135802</t>
  </si>
  <si>
    <t>M2</t>
  </si>
  <si>
    <t>THS0152401</t>
  </si>
  <si>
    <t>THS0143201</t>
  </si>
  <si>
    <t>THS0081601</t>
  </si>
  <si>
    <t>THS0081801</t>
  </si>
  <si>
    <t>THS0122201</t>
  </si>
  <si>
    <t>SV LHD</t>
  </si>
  <si>
    <t>THS0122301</t>
  </si>
  <si>
    <t>SV RHD</t>
  </si>
  <si>
    <t>THS0216300</t>
  </si>
  <si>
    <t>SZ1e LHD (SV LHD CKD 포함)</t>
  </si>
  <si>
    <t>THS0216400</t>
  </si>
  <si>
    <t>SZ1e RHD(SV RHD CKD 포함)</t>
  </si>
  <si>
    <t>THS0081901</t>
  </si>
  <si>
    <t>MQ4 RHD</t>
  </si>
  <si>
    <t>THS0173102</t>
  </si>
  <si>
    <t>TB5H SW CCW IMPELLER ASM</t>
  </si>
  <si>
    <t>THS0173202</t>
  </si>
  <si>
    <t>TB5H SW CW IMPELLER ASM</t>
  </si>
  <si>
    <r>
      <t xml:space="preserve">BLDC </t>
    </r>
    <r>
      <rPr>
        <b/>
        <sz val="16"/>
        <color theme="1"/>
        <rFont val="Arial"/>
        <family val="3"/>
        <charset val="129"/>
        <scheme val="minor"/>
      </rPr>
      <t>조립라인</t>
    </r>
    <r>
      <rPr>
        <b/>
        <sz val="16"/>
        <color theme="1"/>
        <rFont val="Arial"/>
        <family val="2"/>
        <scheme val="minor"/>
      </rPr>
      <t xml:space="preserve"> 11</t>
    </r>
    <r>
      <rPr>
        <b/>
        <sz val="16"/>
        <color theme="1"/>
        <rFont val="Arial"/>
        <family val="3"/>
        <charset val="129"/>
        <scheme val="minor"/>
      </rPr>
      <t>월생산</t>
    </r>
    <r>
      <rPr>
        <b/>
        <sz val="16"/>
        <color theme="1"/>
        <rFont val="Arial"/>
        <family val="2"/>
        <scheme val="minor"/>
      </rPr>
      <t xml:space="preserve"> </t>
    </r>
    <r>
      <rPr>
        <b/>
        <sz val="16"/>
        <color theme="1"/>
        <rFont val="Arial"/>
        <family val="3"/>
        <charset val="129"/>
        <scheme val="minor"/>
      </rPr>
      <t>계획</t>
    </r>
  </si>
  <si>
    <r>
      <rPr>
        <b/>
        <sz val="10"/>
        <color rgb="FFFF0000"/>
        <rFont val="맑은 고딕"/>
        <family val="3"/>
        <charset val="129"/>
      </rPr>
      <t xml:space="preserve">일 </t>
    </r>
    <r>
      <rPr>
        <b/>
        <sz val="10"/>
        <color rgb="FFFF0000"/>
        <rFont val="Arial"/>
        <family val="2"/>
        <scheme val="minor"/>
      </rPr>
      <t>CAPA</t>
    </r>
    <phoneticPr fontId="8" type="noConversion"/>
  </si>
  <si>
    <t>FLANGE</t>
    <phoneticPr fontId="8" type="noConversion"/>
  </si>
  <si>
    <t>FlANGE</t>
    <phoneticPr fontId="8" type="noConversion"/>
  </si>
  <si>
    <r>
      <t>RG3(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</si>
  <si>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MQ4 LHD(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</si>
  <si>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 xml:space="preserve">A2XX </t>
    </r>
    <r>
      <rPr>
        <sz val="10"/>
        <color theme="1"/>
        <rFont val="맑은 고딕"/>
        <family val="3"/>
        <charset val="129"/>
      </rPr>
      <t>중국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/24MY)</t>
    </r>
    <phoneticPr fontId="8" type="noConversion"/>
  </si>
  <si>
    <r>
      <t xml:space="preserve">A2XX </t>
    </r>
    <r>
      <rPr>
        <sz val="10"/>
        <color theme="1"/>
        <rFont val="맑은 고딕"/>
        <family val="3"/>
        <charset val="129"/>
      </rPr>
      <t>미국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2"/>
        <charset val="129"/>
      </rPr>
      <t>수밀개선</t>
    </r>
    <r>
      <rPr>
        <sz val="10"/>
        <color theme="1"/>
        <rFont val="Arial"/>
        <family val="2"/>
        <scheme val="minor"/>
      </rPr>
      <t>/24MY)</t>
    </r>
    <phoneticPr fontId="8" type="noConversion"/>
  </si>
  <si>
    <r>
      <t>BEV3 60 CN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60(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</si>
  <si>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60 US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60(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</si>
  <si>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60 MX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60(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</si>
  <si>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30 US</t>
    </r>
    <r>
      <rPr>
        <sz val="10"/>
        <color theme="1"/>
        <rFont val="맑은 고딕"/>
        <family val="3"/>
        <charset val="129"/>
      </rPr>
      <t>형도</t>
    </r>
    <r>
      <rPr>
        <sz val="10"/>
        <color theme="1"/>
        <rFont val="Arial"/>
        <family val="2"/>
        <scheme val="minor"/>
      </rPr>
      <t xml:space="preserve"> 30(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</si>
  <si>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BEV3 RHD 60 MX (</t>
    </r>
    <r>
      <rPr>
        <sz val="10"/>
        <color theme="1"/>
        <rFont val="맑은 고딕"/>
        <family val="3"/>
        <charset val="129"/>
      </rPr>
      <t>수밀개선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</si>
  <si>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J9 GEN5 LHD(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수밀개선</t>
    </r>
    <phoneticPr fontId="8" type="noConversion"/>
  </si>
  <si>
    <r>
      <t>J9 GEN5 RHD</t>
    </r>
    <r>
      <rPr>
        <sz val="10"/>
        <color theme="1"/>
        <rFont val="맑은 고딕"/>
        <family val="3"/>
        <charset val="129"/>
      </rPr>
      <t>수밀개선</t>
    </r>
    <phoneticPr fontId="8" type="noConversion"/>
  </si>
  <si>
    <r>
      <t>RIVIAN R1T(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</si>
  <si>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RIVIAN EDV(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</si>
  <si>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>MX5a(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</si>
  <si>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r>
      <t xml:space="preserve">T6 (P703) </t>
    </r>
    <r>
      <rPr>
        <sz val="10"/>
        <color theme="1"/>
        <rFont val="맑은 고딕"/>
        <family val="3"/>
        <charset val="129"/>
      </rPr>
      <t>수밀</t>
    </r>
    <r>
      <rPr>
        <sz val="10"/>
        <color theme="1"/>
        <rFont val="Arial"/>
        <family val="2"/>
        <scheme val="minor"/>
      </rPr>
      <t>(U725)</t>
    </r>
    <phoneticPr fontId="8" type="noConversion"/>
  </si>
  <si>
    <r>
      <t>MX5(</t>
    </r>
    <r>
      <rPr>
        <sz val="10"/>
        <color theme="1"/>
        <rFont val="맑은 고딕"/>
        <family val="2"/>
        <charset val="129"/>
      </rPr>
      <t>한</t>
    </r>
    <r>
      <rPr>
        <sz val="10"/>
        <color theme="1"/>
        <rFont val="맑은 고딕"/>
        <family val="3"/>
        <charset val="129"/>
      </rPr>
      <t>성전장</t>
    </r>
    <r>
      <rPr>
        <sz val="10"/>
        <color theme="1"/>
        <rFont val="Arial"/>
        <family val="2"/>
        <scheme val="minor"/>
      </rPr>
      <t>)</t>
    </r>
    <phoneticPr fontId="8" type="noConversion"/>
  </si>
  <si>
    <t>조립2</t>
    <phoneticPr fontId="8" type="noConversion"/>
  </si>
  <si>
    <t>FAN</t>
    <phoneticPr fontId="8" type="noConversion"/>
  </si>
  <si>
    <t>조립1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</si>
</sst>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/d\(aaa\)"/>
    <numFmt numFmtId="177" formatCode="#,##0;[=0]&quot;-&quot;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6"/>
      <color theme="1"/>
      <name val="Arial"/>
      <family val="2"/>
      <scheme val="minor"/>
    </font>
    <font>
      <b/>
      <sz val="16"/>
      <color theme="1"/>
      <name val="Arial"/>
      <family val="3"/>
      <charset val="129"/>
      <scheme val="minor"/>
    </font>
    <font>
      <sz val="10"/>
      <name val="Arial"/>
      <family val="2"/>
      <scheme val="minor"/>
    </font>
    <font>
      <b/>
      <sz val="10"/>
      <color rgb="FFFF0000"/>
      <name val="Arial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rgb="FFB5E6A2"/>
        <bgColor rgb="FFFFF2CC"/>
      </patternFill>
    </fill>
    <fill>
      <patternFill patternType="solid">
        <fgColor rgb="FFFDDE91"/>
        <bgColor rgb="FFFFF2CC"/>
      </patternFill>
    </fill>
    <fill>
      <patternFill patternType="solid">
        <fgColor rgb="FFFDDE91"/>
        <bgColor rgb="FFCFE2F3"/>
      </patternFill>
    </fill>
    <fill>
      <patternFill patternType="solid">
        <fgColor rgb="FFFDDE91"/>
        <bgColor rgb="FFCCCC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5" fillId="0" borderId="0" xfId="0" applyFont="1"/>
    <xf numFmtId="0" fontId="2" fillId="3" borderId="1" xfId="0" applyFont="1" applyFill="1" applyBorder="1"/>
    <xf numFmtId="0" fontId="1" fillId="3" borderId="1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0" fillId="0" borderId="4" xfId="0" applyBorder="1"/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76" fontId="7" fillId="4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5" borderId="5" xfId="0" applyFont="1" applyFill="1" applyBorder="1"/>
    <xf numFmtId="0" fontId="1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6" borderId="5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7" xfId="0" applyFont="1" applyFill="1" applyBorder="1"/>
    <xf numFmtId="0" fontId="1" fillId="6" borderId="8" xfId="0" applyFont="1" applyFill="1" applyBorder="1"/>
    <xf numFmtId="0" fontId="2" fillId="6" borderId="8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77" fontId="5" fillId="0" borderId="0" xfId="0" applyNumberFormat="1" applyFont="1" applyAlignment="1">
      <alignment horizontal="center"/>
    </xf>
    <xf numFmtId="177" fontId="9" fillId="0" borderId="2" xfId="0" applyNumberFormat="1" applyFont="1" applyBorder="1" applyAlignment="1">
      <alignment horizontal="center"/>
    </xf>
    <xf numFmtId="177" fontId="9" fillId="0" borderId="5" xfId="0" applyNumberFormat="1" applyFont="1" applyBorder="1" applyAlignment="1">
      <alignment horizontal="center"/>
    </xf>
    <xf numFmtId="177" fontId="9" fillId="0" borderId="7" xfId="0" applyNumberFormat="1" applyFont="1" applyBorder="1" applyAlignment="1">
      <alignment horizontal="center"/>
    </xf>
    <xf numFmtId="177" fontId="4" fillId="0" borderId="14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177" fontId="6" fillId="5" borderId="1" xfId="0" applyNumberFormat="1" applyFont="1" applyFill="1" applyBorder="1" applyAlignment="1">
      <alignment horizontal="center"/>
    </xf>
    <xf numFmtId="177" fontId="6" fillId="6" borderId="1" xfId="0" applyNumberFormat="1" applyFont="1" applyFill="1" applyBorder="1" applyAlignment="1">
      <alignment horizontal="center"/>
    </xf>
    <xf numFmtId="177" fontId="6" fillId="6" borderId="8" xfId="0" applyNumberFormat="1" applyFont="1" applyFill="1" applyBorder="1" applyAlignment="1">
      <alignment horizontal="center"/>
    </xf>
    <xf numFmtId="177" fontId="0" fillId="0" borderId="0" xfId="0" applyNumberFormat="1"/>
    <xf numFmtId="177" fontId="5" fillId="0" borderId="3" xfId="0" applyNumberFormat="1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7" fontId="5" fillId="0" borderId="6" xfId="0" applyNumberFormat="1" applyFont="1" applyBorder="1" applyAlignment="1">
      <alignment horizontal="center"/>
    </xf>
    <xf numFmtId="177" fontId="5" fillId="0" borderId="8" xfId="0" applyNumberFormat="1" applyFont="1" applyBorder="1" applyAlignment="1">
      <alignment horizontal="center"/>
    </xf>
    <xf numFmtId="177" fontId="5" fillId="0" borderId="9" xfId="0" applyNumberFormat="1" applyFont="1" applyBorder="1" applyAlignment="1">
      <alignment horizontal="center"/>
    </xf>
    <xf numFmtId="177" fontId="7" fillId="0" borderId="14" xfId="0" applyNumberFormat="1" applyFont="1" applyBorder="1" applyAlignment="1">
      <alignment horizontal="center"/>
    </xf>
    <xf numFmtId="177" fontId="7" fillId="0" borderId="15" xfId="0" applyNumberFormat="1" applyFont="1" applyBorder="1" applyAlignment="1">
      <alignment horizontal="center"/>
    </xf>
    <xf numFmtId="177" fontId="1" fillId="5" borderId="1" xfId="0" applyNumberFormat="1" applyFont="1" applyFill="1" applyBorder="1"/>
    <xf numFmtId="177" fontId="1" fillId="5" borderId="6" xfId="0" applyNumberFormat="1" applyFont="1" applyFill="1" applyBorder="1"/>
    <xf numFmtId="177" fontId="1" fillId="3" borderId="1" xfId="0" applyNumberFormat="1" applyFont="1" applyFill="1" applyBorder="1"/>
    <xf numFmtId="177" fontId="1" fillId="3" borderId="6" xfId="0" applyNumberFormat="1" applyFont="1" applyFill="1" applyBorder="1"/>
    <xf numFmtId="177" fontId="1" fillId="6" borderId="1" xfId="0" applyNumberFormat="1" applyFont="1" applyFill="1" applyBorder="1"/>
    <xf numFmtId="177" fontId="1" fillId="6" borderId="6" xfId="0" applyNumberFormat="1" applyFont="1" applyFill="1" applyBorder="1"/>
    <xf numFmtId="177" fontId="1" fillId="6" borderId="8" xfId="0" applyNumberFormat="1" applyFont="1" applyFill="1" applyBorder="1"/>
    <xf numFmtId="177" fontId="1" fillId="6" borderId="9" xfId="0" applyNumberFormat="1" applyFont="1" applyFill="1" applyBorder="1"/>
    <xf numFmtId="3" fontId="7" fillId="0" borderId="1" xfId="0" applyNumberFormat="1" applyFont="1" applyBorder="1"/>
    <xf numFmtId="0" fontId="5" fillId="0" borderId="2" xfId="0" applyFont="1" applyBorder="1"/>
    <xf numFmtId="0" fontId="6" fillId="0" borderId="5" xfId="0" applyFont="1" applyBorder="1" applyAlignment="1">
      <alignment horizontal="right"/>
    </xf>
    <xf numFmtId="3" fontId="0" fillId="0" borderId="6" xfId="0" applyNumberFormat="1" applyBorder="1"/>
    <xf numFmtId="0" fontId="6" fillId="0" borderId="7" xfId="0" applyFont="1" applyBorder="1" applyAlignment="1">
      <alignment horizontal="right"/>
    </xf>
    <xf numFmtId="3" fontId="7" fillId="0" borderId="8" xfId="0" applyNumberFormat="1" applyFont="1" applyBorder="1"/>
    <xf numFmtId="3" fontId="5" fillId="0" borderId="9" xfId="0" applyNumberFormat="1" applyFont="1" applyBorder="1"/>
    <xf numFmtId="0" fontId="2" fillId="7" borderId="5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177" fontId="6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77" fontId="1" fillId="7" borderId="1" xfId="0" applyNumberFormat="1" applyFont="1" applyFill="1" applyBorder="1"/>
    <xf numFmtId="177" fontId="1" fillId="7" borderId="6" xfId="0" applyNumberFormat="1" applyFont="1" applyFill="1" applyBorder="1"/>
    <xf numFmtId="0" fontId="13" fillId="8" borderId="11" xfId="0" applyFont="1" applyFill="1" applyBorder="1"/>
    <xf numFmtId="0" fontId="4" fillId="8" borderId="0" xfId="0" applyFont="1" applyFill="1"/>
    <xf numFmtId="0" fontId="4" fillId="8" borderId="10" xfId="0" applyFont="1" applyFill="1" applyBorder="1"/>
    <xf numFmtId="0" fontId="11" fillId="8" borderId="11" xfId="0" applyFont="1" applyFill="1" applyBorder="1"/>
    <xf numFmtId="0" fontId="4" fillId="8" borderId="12" xfId="0" applyFont="1" applyFill="1" applyBorder="1"/>
    <xf numFmtId="0" fontId="4" fillId="8" borderId="13" xfId="0" applyFont="1" applyFill="1" applyBorder="1"/>
    <xf numFmtId="0" fontId="14" fillId="0" borderId="3" xfId="0" applyFont="1" applyBorder="1"/>
    <xf numFmtId="0" fontId="16" fillId="3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DDE91"/>
      <color rgb="FFF9D9A9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99"/>
  <sheetViews>
    <sheetView tabSelected="1" zoomScale="70" zoomScaleNormal="70" workbookViewId="0">
      <selection activeCell="F18" sqref="F18"/>
    </sheetView>
  </sheetViews>
  <sheetFormatPr defaultColWidth="12.6640625" defaultRowHeight="15.75" customHeight="1" x14ac:dyDescent="0.25"/>
  <cols>
    <col min="2" max="2" width="12.77734375" bestFit="1" customWidth="1"/>
    <col min="3" max="3" width="7.77734375" bestFit="1" customWidth="1"/>
    <col min="4" max="4" width="29.88671875" customWidth="1"/>
    <col min="5" max="5" width="12.6640625" style="38"/>
    <col min="6" max="6" width="9.21875" style="33" customWidth="1"/>
    <col min="7" max="34" width="12.6640625" style="47"/>
  </cols>
  <sheetData>
    <row r="1" spans="1:34" ht="15.75" customHeight="1" x14ac:dyDescent="0.35">
      <c r="A1" s="64"/>
      <c r="B1" s="83" t="s">
        <v>81</v>
      </c>
      <c r="C1" s="10"/>
    </row>
    <row r="2" spans="1:34" ht="15.75" customHeight="1" x14ac:dyDescent="0.25">
      <c r="A2" s="65">
        <v>1</v>
      </c>
      <c r="B2" s="63">
        <v>3300</v>
      </c>
      <c r="C2" s="66"/>
    </row>
    <row r="3" spans="1:34" ht="15.75" customHeight="1" x14ac:dyDescent="0.25">
      <c r="A3" s="65">
        <v>2</v>
      </c>
      <c r="B3" s="63">
        <v>3700</v>
      </c>
      <c r="C3" s="66"/>
    </row>
    <row r="4" spans="1:34" ht="15.75" customHeight="1" thickBot="1" x14ac:dyDescent="0.3">
      <c r="A4" s="67">
        <v>3</v>
      </c>
      <c r="B4" s="68">
        <v>3600</v>
      </c>
      <c r="C4" s="69">
        <f>SUM($E$5:$E$7)</f>
        <v>181560</v>
      </c>
    </row>
    <row r="5" spans="1:34" s="5" customFormat="1" ht="13.2" x14ac:dyDescent="0.25">
      <c r="A5" s="77"/>
      <c r="B5" s="78"/>
      <c r="C5" s="78"/>
      <c r="D5" s="79"/>
      <c r="E5" s="39">
        <f>SUM($G5:$AH5)</f>
        <v>63625</v>
      </c>
      <c r="F5" s="11" t="s">
        <v>0</v>
      </c>
      <c r="G5" s="48">
        <f>SUM(G$10:G$17)</f>
        <v>3325</v>
      </c>
      <c r="H5" s="48">
        <f t="shared" ref="H5:AH5" si="0">SUM(H$10:H$17)</f>
        <v>3325</v>
      </c>
      <c r="I5" s="48">
        <f t="shared" si="0"/>
        <v>2625</v>
      </c>
      <c r="J5" s="48">
        <f t="shared" si="0"/>
        <v>3325</v>
      </c>
      <c r="K5" s="48">
        <f t="shared" si="0"/>
        <v>2625</v>
      </c>
      <c r="L5" s="48">
        <f t="shared" si="0"/>
        <v>0</v>
      </c>
      <c r="M5" s="48">
        <f t="shared" si="0"/>
        <v>0</v>
      </c>
      <c r="N5" s="48">
        <f t="shared" si="0"/>
        <v>3025</v>
      </c>
      <c r="O5" s="48">
        <f t="shared" si="0"/>
        <v>3400</v>
      </c>
      <c r="P5" s="48">
        <f t="shared" si="0"/>
        <v>3400</v>
      </c>
      <c r="Q5" s="48">
        <f t="shared" si="0"/>
        <v>3400</v>
      </c>
      <c r="R5" s="48">
        <f t="shared" si="0"/>
        <v>3025</v>
      </c>
      <c r="S5" s="48">
        <f t="shared" si="0"/>
        <v>0</v>
      </c>
      <c r="T5" s="48">
        <f t="shared" si="0"/>
        <v>0</v>
      </c>
      <c r="U5" s="48">
        <f t="shared" si="0"/>
        <v>3400</v>
      </c>
      <c r="V5" s="48">
        <f t="shared" si="0"/>
        <v>3400</v>
      </c>
      <c r="W5" s="48">
        <f t="shared" si="0"/>
        <v>3025</v>
      </c>
      <c r="X5" s="48">
        <f t="shared" si="0"/>
        <v>5500</v>
      </c>
      <c r="Y5" s="48">
        <f t="shared" si="0"/>
        <v>925</v>
      </c>
      <c r="Z5" s="48">
        <f t="shared" si="0"/>
        <v>0</v>
      </c>
      <c r="AA5" s="48">
        <f t="shared" si="0"/>
        <v>0</v>
      </c>
      <c r="AB5" s="48">
        <f t="shared" si="0"/>
        <v>3450</v>
      </c>
      <c r="AC5" s="48">
        <f t="shared" si="0"/>
        <v>3200</v>
      </c>
      <c r="AD5" s="48">
        <f t="shared" si="0"/>
        <v>3025</v>
      </c>
      <c r="AE5" s="48">
        <f t="shared" si="0"/>
        <v>3025</v>
      </c>
      <c r="AF5" s="48">
        <f t="shared" si="0"/>
        <v>3200</v>
      </c>
      <c r="AG5" s="48">
        <f t="shared" si="0"/>
        <v>0</v>
      </c>
      <c r="AH5" s="49">
        <f t="shared" si="0"/>
        <v>0</v>
      </c>
    </row>
    <row r="6" spans="1:34" s="5" customFormat="1" ht="21" x14ac:dyDescent="0.4">
      <c r="A6" s="80" t="s">
        <v>80</v>
      </c>
      <c r="B6" s="78"/>
      <c r="C6" s="78"/>
      <c r="D6" s="78"/>
      <c r="E6" s="40">
        <f>SUM($G6:$AH6)</f>
        <v>60820</v>
      </c>
      <c r="F6" s="12" t="s">
        <v>1</v>
      </c>
      <c r="G6" s="43">
        <f>SUM(G$18:G$41)</f>
        <v>2750</v>
      </c>
      <c r="H6" s="43">
        <f t="shared" ref="H6:AH6" si="1">SUM(H$18:H$41)</f>
        <v>3100</v>
      </c>
      <c r="I6" s="43">
        <f t="shared" si="1"/>
        <v>2965</v>
      </c>
      <c r="J6" s="43">
        <f t="shared" si="1"/>
        <v>3175</v>
      </c>
      <c r="K6" s="43">
        <f t="shared" si="1"/>
        <v>3185</v>
      </c>
      <c r="L6" s="43">
        <f t="shared" si="1"/>
        <v>0</v>
      </c>
      <c r="M6" s="43">
        <f t="shared" si="1"/>
        <v>0</v>
      </c>
      <c r="N6" s="43">
        <f t="shared" si="1"/>
        <v>3115</v>
      </c>
      <c r="O6" s="43">
        <f t="shared" si="1"/>
        <v>3150</v>
      </c>
      <c r="P6" s="43">
        <f t="shared" si="1"/>
        <v>3630</v>
      </c>
      <c r="Q6" s="43">
        <f t="shared" si="1"/>
        <v>3125</v>
      </c>
      <c r="R6" s="43">
        <f t="shared" si="1"/>
        <v>3105</v>
      </c>
      <c r="S6" s="43">
        <f t="shared" si="1"/>
        <v>0</v>
      </c>
      <c r="T6" s="43">
        <f t="shared" si="1"/>
        <v>0</v>
      </c>
      <c r="U6" s="43">
        <f t="shared" si="1"/>
        <v>3140</v>
      </c>
      <c r="V6" s="43">
        <f t="shared" si="1"/>
        <v>3175</v>
      </c>
      <c r="W6" s="43">
        <f t="shared" si="1"/>
        <v>2900</v>
      </c>
      <c r="X6" s="43">
        <f t="shared" si="1"/>
        <v>2740</v>
      </c>
      <c r="Y6" s="43">
        <f t="shared" si="1"/>
        <v>2440</v>
      </c>
      <c r="Z6" s="43">
        <f t="shared" si="1"/>
        <v>0</v>
      </c>
      <c r="AA6" s="43">
        <f t="shared" si="1"/>
        <v>0</v>
      </c>
      <c r="AB6" s="43">
        <f t="shared" si="1"/>
        <v>3075</v>
      </c>
      <c r="AC6" s="43">
        <f t="shared" si="1"/>
        <v>3615</v>
      </c>
      <c r="AD6" s="43">
        <f t="shared" si="1"/>
        <v>3660</v>
      </c>
      <c r="AE6" s="43">
        <f t="shared" si="1"/>
        <v>3515</v>
      </c>
      <c r="AF6" s="43">
        <f t="shared" si="1"/>
        <v>1260</v>
      </c>
      <c r="AG6" s="43">
        <f t="shared" si="1"/>
        <v>0</v>
      </c>
      <c r="AH6" s="50">
        <f t="shared" si="1"/>
        <v>0</v>
      </c>
    </row>
    <row r="7" spans="1:34" s="5" customFormat="1" ht="15.75" customHeight="1" thickBot="1" x14ac:dyDescent="0.3">
      <c r="A7" s="81"/>
      <c r="B7" s="82"/>
      <c r="C7" s="82"/>
      <c r="D7" s="82"/>
      <c r="E7" s="41">
        <f t="shared" ref="E7" si="2">SUM($G7:$AH7)</f>
        <v>57115</v>
      </c>
      <c r="F7" s="13" t="s">
        <v>2</v>
      </c>
      <c r="G7" s="51">
        <f>SUM(G$42:G$54)</f>
        <v>2625</v>
      </c>
      <c r="H7" s="51">
        <f t="shared" ref="H7:AH7" si="3">SUM(H$42:H$54)</f>
        <v>2205</v>
      </c>
      <c r="I7" s="51">
        <f t="shared" si="3"/>
        <v>2610</v>
      </c>
      <c r="J7" s="51">
        <f t="shared" si="3"/>
        <v>2220</v>
      </c>
      <c r="K7" s="51">
        <f t="shared" si="3"/>
        <v>2070</v>
      </c>
      <c r="L7" s="51">
        <f t="shared" si="3"/>
        <v>0</v>
      </c>
      <c r="M7" s="51">
        <f t="shared" si="3"/>
        <v>0</v>
      </c>
      <c r="N7" s="51">
        <f t="shared" si="3"/>
        <v>2550</v>
      </c>
      <c r="O7" s="51">
        <f t="shared" si="3"/>
        <v>2310</v>
      </c>
      <c r="P7" s="51">
        <f t="shared" si="3"/>
        <v>2370</v>
      </c>
      <c r="Q7" s="51">
        <f t="shared" si="3"/>
        <v>2310</v>
      </c>
      <c r="R7" s="51">
        <f t="shared" si="3"/>
        <v>3545</v>
      </c>
      <c r="S7" s="51">
        <f t="shared" si="3"/>
        <v>0</v>
      </c>
      <c r="T7" s="51">
        <f t="shared" si="3"/>
        <v>0</v>
      </c>
      <c r="U7" s="51">
        <f t="shared" si="3"/>
        <v>3580</v>
      </c>
      <c r="V7" s="51">
        <f t="shared" si="3"/>
        <v>2280</v>
      </c>
      <c r="W7" s="51">
        <f t="shared" si="3"/>
        <v>3930</v>
      </c>
      <c r="X7" s="51">
        <f t="shared" si="3"/>
        <v>3105</v>
      </c>
      <c r="Y7" s="51">
        <f t="shared" si="3"/>
        <v>4280</v>
      </c>
      <c r="Z7" s="51">
        <f t="shared" si="3"/>
        <v>0</v>
      </c>
      <c r="AA7" s="51">
        <f t="shared" si="3"/>
        <v>0</v>
      </c>
      <c r="AB7" s="51">
        <f t="shared" si="3"/>
        <v>3455</v>
      </c>
      <c r="AC7" s="51">
        <f t="shared" si="3"/>
        <v>2805</v>
      </c>
      <c r="AD7" s="51">
        <f t="shared" si="3"/>
        <v>3505</v>
      </c>
      <c r="AE7" s="51">
        <f t="shared" si="3"/>
        <v>2380</v>
      </c>
      <c r="AF7" s="51">
        <f t="shared" si="3"/>
        <v>2980</v>
      </c>
      <c r="AG7" s="51">
        <f t="shared" si="3"/>
        <v>0</v>
      </c>
      <c r="AH7" s="52">
        <f t="shared" si="3"/>
        <v>0</v>
      </c>
    </row>
    <row r="8" spans="1:34" s="18" customFormat="1" ht="15.75" customHeight="1" x14ac:dyDescent="0.25">
      <c r="A8" s="20" t="s">
        <v>3</v>
      </c>
      <c r="B8" s="21" t="s">
        <v>4</v>
      </c>
      <c r="C8" s="21" t="s">
        <v>5</v>
      </c>
      <c r="D8" s="21" t="s">
        <v>6</v>
      </c>
      <c r="E8" s="42" t="s">
        <v>7</v>
      </c>
      <c r="F8" s="22" t="s">
        <v>8</v>
      </c>
      <c r="G8" s="42" t="s">
        <v>9</v>
      </c>
      <c r="H8" s="42" t="s">
        <v>9</v>
      </c>
      <c r="I8" s="42" t="s">
        <v>9</v>
      </c>
      <c r="J8" s="42" t="s">
        <v>9</v>
      </c>
      <c r="K8" s="42" t="s">
        <v>9</v>
      </c>
      <c r="L8" s="53" t="s">
        <v>10</v>
      </c>
      <c r="M8" s="53" t="s">
        <v>10</v>
      </c>
      <c r="N8" s="42" t="s">
        <v>9</v>
      </c>
      <c r="O8" s="42" t="s">
        <v>9</v>
      </c>
      <c r="P8" s="42" t="s">
        <v>9</v>
      </c>
      <c r="Q8" s="42" t="s">
        <v>9</v>
      </c>
      <c r="R8" s="42" t="s">
        <v>9</v>
      </c>
      <c r="S8" s="53" t="s">
        <v>10</v>
      </c>
      <c r="T8" s="53" t="s">
        <v>10</v>
      </c>
      <c r="U8" s="42" t="s">
        <v>9</v>
      </c>
      <c r="V8" s="42" t="s">
        <v>9</v>
      </c>
      <c r="W8" s="42" t="s">
        <v>9</v>
      </c>
      <c r="X8" s="42" t="s">
        <v>9</v>
      </c>
      <c r="Y8" s="42" t="s">
        <v>9</v>
      </c>
      <c r="Z8" s="53" t="s">
        <v>10</v>
      </c>
      <c r="AA8" s="53" t="s">
        <v>10</v>
      </c>
      <c r="AB8" s="42" t="s">
        <v>9</v>
      </c>
      <c r="AC8" s="42" t="s">
        <v>9</v>
      </c>
      <c r="AD8" s="42" t="s">
        <v>9</v>
      </c>
      <c r="AE8" s="42" t="s">
        <v>9</v>
      </c>
      <c r="AF8" s="42" t="s">
        <v>9</v>
      </c>
      <c r="AG8" s="53" t="s">
        <v>10</v>
      </c>
      <c r="AH8" s="54" t="s">
        <v>10</v>
      </c>
    </row>
    <row r="9" spans="1:34" s="18" customFormat="1" ht="15.75" customHeight="1" x14ac:dyDescent="0.25">
      <c r="A9" s="15"/>
      <c r="B9" s="14"/>
      <c r="C9" s="14"/>
      <c r="D9" s="14"/>
      <c r="E9" s="43"/>
      <c r="F9" s="16" t="s">
        <v>11</v>
      </c>
      <c r="G9" s="17">
        <v>45964</v>
      </c>
      <c r="H9" s="17">
        <v>45965</v>
      </c>
      <c r="I9" s="17">
        <v>45966</v>
      </c>
      <c r="J9" s="17">
        <v>45967</v>
      </c>
      <c r="K9" s="17">
        <v>45968</v>
      </c>
      <c r="L9" s="19">
        <v>45969</v>
      </c>
      <c r="M9" s="19">
        <v>45970</v>
      </c>
      <c r="N9" s="17">
        <v>45971</v>
      </c>
      <c r="O9" s="17">
        <v>45972</v>
      </c>
      <c r="P9" s="17">
        <v>45973</v>
      </c>
      <c r="Q9" s="17">
        <v>45974</v>
      </c>
      <c r="R9" s="17">
        <v>45975</v>
      </c>
      <c r="S9" s="19">
        <v>45976</v>
      </c>
      <c r="T9" s="19">
        <v>45977</v>
      </c>
      <c r="U9" s="17">
        <v>45978</v>
      </c>
      <c r="V9" s="17">
        <v>45979</v>
      </c>
      <c r="W9" s="17">
        <v>45980</v>
      </c>
      <c r="X9" s="17">
        <v>45981</v>
      </c>
      <c r="Y9" s="17">
        <v>45982</v>
      </c>
      <c r="Z9" s="19">
        <v>45983</v>
      </c>
      <c r="AA9" s="19">
        <v>45984</v>
      </c>
      <c r="AB9" s="17">
        <v>45985</v>
      </c>
      <c r="AC9" s="17">
        <v>45986</v>
      </c>
      <c r="AD9" s="17">
        <v>45987</v>
      </c>
      <c r="AE9" s="17">
        <v>45988</v>
      </c>
      <c r="AF9" s="17">
        <v>45989</v>
      </c>
      <c r="AG9" s="19">
        <v>45990</v>
      </c>
      <c r="AH9" s="19">
        <v>45991</v>
      </c>
    </row>
    <row r="10" spans="1:34" ht="15.75" customHeight="1" x14ac:dyDescent="0.35">
      <c r="A10" s="23" t="s">
        <v>12</v>
      </c>
      <c r="B10" s="24" t="s">
        <v>13</v>
      </c>
      <c r="C10" s="25">
        <v>175</v>
      </c>
      <c r="D10" s="24" t="s">
        <v>93</v>
      </c>
      <c r="E10" s="44">
        <f>SUM($G10:$AH10)</f>
        <v>25025</v>
      </c>
      <c r="F10" s="34" t="s">
        <v>0</v>
      </c>
      <c r="G10" s="55">
        <v>1750</v>
      </c>
      <c r="H10" s="55">
        <v>2100</v>
      </c>
      <c r="I10" s="55">
        <v>2100</v>
      </c>
      <c r="J10" s="55">
        <v>3325</v>
      </c>
      <c r="K10" s="55">
        <v>2100</v>
      </c>
      <c r="L10" s="55"/>
      <c r="M10" s="55"/>
      <c r="N10" s="55">
        <v>2100</v>
      </c>
      <c r="O10" s="55"/>
      <c r="P10" s="55"/>
      <c r="Q10" s="55"/>
      <c r="R10" s="55">
        <v>2100</v>
      </c>
      <c r="S10" s="55"/>
      <c r="T10" s="55"/>
      <c r="U10" s="55"/>
      <c r="V10" s="55"/>
      <c r="W10" s="55">
        <v>2100</v>
      </c>
      <c r="X10" s="55">
        <v>2100</v>
      </c>
      <c r="Y10" s="55"/>
      <c r="Z10" s="55"/>
      <c r="AA10" s="55"/>
      <c r="AB10" s="55">
        <v>1050</v>
      </c>
      <c r="AC10" s="55"/>
      <c r="AD10" s="55">
        <v>2100</v>
      </c>
      <c r="AE10" s="55">
        <v>2100</v>
      </c>
      <c r="AF10" s="55"/>
      <c r="AG10" s="55"/>
      <c r="AH10" s="56"/>
    </row>
    <row r="11" spans="1:34" ht="15.75" customHeight="1" x14ac:dyDescent="0.35">
      <c r="A11" s="23" t="s">
        <v>12</v>
      </c>
      <c r="B11" s="24" t="s">
        <v>14</v>
      </c>
      <c r="C11" s="25">
        <v>175</v>
      </c>
      <c r="D11" s="24" t="s">
        <v>94</v>
      </c>
      <c r="E11" s="44">
        <f t="shared" ref="E11:E41" si="4">SUM($G11:$AH11)</f>
        <v>0</v>
      </c>
      <c r="F11" s="34" t="s">
        <v>0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6"/>
    </row>
    <row r="12" spans="1:34" ht="15.75" customHeight="1" x14ac:dyDescent="0.25">
      <c r="A12" s="23" t="s">
        <v>12</v>
      </c>
      <c r="B12" s="24" t="s">
        <v>15</v>
      </c>
      <c r="C12" s="25">
        <v>175</v>
      </c>
      <c r="D12" s="24" t="s">
        <v>16</v>
      </c>
      <c r="E12" s="44">
        <f t="shared" si="4"/>
        <v>4200</v>
      </c>
      <c r="F12" s="34" t="s">
        <v>0</v>
      </c>
      <c r="G12" s="55"/>
      <c r="H12" s="55"/>
      <c r="I12" s="55">
        <v>525</v>
      </c>
      <c r="J12" s="55"/>
      <c r="K12" s="55">
        <v>525</v>
      </c>
      <c r="L12" s="55"/>
      <c r="M12" s="55"/>
      <c r="N12" s="55">
        <v>525</v>
      </c>
      <c r="O12" s="55"/>
      <c r="P12" s="55"/>
      <c r="Q12" s="55"/>
      <c r="R12" s="55">
        <v>525</v>
      </c>
      <c r="S12" s="55"/>
      <c r="T12" s="55"/>
      <c r="U12" s="55"/>
      <c r="V12" s="55"/>
      <c r="W12" s="55">
        <v>525</v>
      </c>
      <c r="X12" s="55"/>
      <c r="Y12" s="55">
        <v>525</v>
      </c>
      <c r="Z12" s="55"/>
      <c r="AA12" s="55"/>
      <c r="AB12" s="55"/>
      <c r="AC12" s="55"/>
      <c r="AD12" s="55">
        <v>525</v>
      </c>
      <c r="AE12" s="55">
        <v>525</v>
      </c>
      <c r="AF12" s="55"/>
      <c r="AG12" s="55"/>
      <c r="AH12" s="56"/>
    </row>
    <row r="13" spans="1:34" ht="15.75" customHeight="1" x14ac:dyDescent="0.25">
      <c r="A13" s="23" t="s">
        <v>83</v>
      </c>
      <c r="B13" s="24" t="s">
        <v>17</v>
      </c>
      <c r="C13" s="25">
        <v>200</v>
      </c>
      <c r="D13" s="24" t="s">
        <v>18</v>
      </c>
      <c r="E13" s="44">
        <f t="shared" si="4"/>
        <v>31600</v>
      </c>
      <c r="F13" s="34" t="s">
        <v>0</v>
      </c>
      <c r="G13" s="55"/>
      <c r="H13" s="55"/>
      <c r="I13" s="55"/>
      <c r="J13" s="55"/>
      <c r="K13" s="55"/>
      <c r="L13" s="55"/>
      <c r="M13" s="55"/>
      <c r="N13" s="55">
        <v>400</v>
      </c>
      <c r="O13" s="55">
        <v>3400</v>
      </c>
      <c r="P13" s="55">
        <v>3400</v>
      </c>
      <c r="Q13" s="55">
        <v>3400</v>
      </c>
      <c r="R13" s="55">
        <v>400</v>
      </c>
      <c r="S13" s="55"/>
      <c r="T13" s="55"/>
      <c r="U13" s="55">
        <v>3400</v>
      </c>
      <c r="V13" s="55">
        <v>3400</v>
      </c>
      <c r="W13" s="55">
        <v>400</v>
      </c>
      <c r="X13" s="55">
        <v>3400</v>
      </c>
      <c r="Y13" s="55">
        <v>400</v>
      </c>
      <c r="Z13" s="55"/>
      <c r="AA13" s="55"/>
      <c r="AB13" s="55">
        <v>2400</v>
      </c>
      <c r="AC13" s="55">
        <v>3200</v>
      </c>
      <c r="AD13" s="55">
        <v>400</v>
      </c>
      <c r="AE13" s="55">
        <v>400</v>
      </c>
      <c r="AF13" s="55">
        <v>3200</v>
      </c>
      <c r="AG13" s="55"/>
      <c r="AH13" s="56"/>
    </row>
    <row r="14" spans="1:34" ht="15.75" customHeight="1" x14ac:dyDescent="0.25">
      <c r="A14" s="23" t="s">
        <v>83</v>
      </c>
      <c r="B14" s="24" t="s">
        <v>19</v>
      </c>
      <c r="C14" s="25">
        <v>200</v>
      </c>
      <c r="D14" s="24" t="s">
        <v>20</v>
      </c>
      <c r="E14" s="44">
        <f t="shared" si="4"/>
        <v>0</v>
      </c>
      <c r="F14" s="34" t="s">
        <v>0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</row>
    <row r="15" spans="1:34" ht="15.75" customHeight="1" x14ac:dyDescent="0.35">
      <c r="A15" s="23" t="s">
        <v>12</v>
      </c>
      <c r="B15" s="24" t="s">
        <v>21</v>
      </c>
      <c r="C15" s="25">
        <v>175</v>
      </c>
      <c r="D15" s="24" t="s">
        <v>86</v>
      </c>
      <c r="E15" s="44">
        <f t="shared" si="4"/>
        <v>0</v>
      </c>
      <c r="F15" s="34" t="s">
        <v>0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</row>
    <row r="16" spans="1:34" ht="15.75" customHeight="1" x14ac:dyDescent="0.35">
      <c r="A16" s="23" t="s">
        <v>12</v>
      </c>
      <c r="B16" s="24" t="s">
        <v>21</v>
      </c>
      <c r="C16" s="25">
        <v>175</v>
      </c>
      <c r="D16" s="24" t="s">
        <v>87</v>
      </c>
      <c r="E16" s="44">
        <f t="shared" si="4"/>
        <v>0</v>
      </c>
      <c r="F16" s="34" t="s">
        <v>0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6"/>
    </row>
    <row r="17" spans="1:34" ht="15.75" customHeight="1" x14ac:dyDescent="0.35">
      <c r="A17" s="23" t="s">
        <v>12</v>
      </c>
      <c r="B17" s="24" t="s">
        <v>22</v>
      </c>
      <c r="C17" s="25">
        <v>175</v>
      </c>
      <c r="D17" s="24" t="s">
        <v>98</v>
      </c>
      <c r="E17" s="44">
        <f t="shared" si="4"/>
        <v>2800</v>
      </c>
      <c r="F17" s="85" t="s">
        <v>102</v>
      </c>
      <c r="G17" s="55">
        <v>1575</v>
      </c>
      <c r="H17" s="55">
        <v>1225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6"/>
    </row>
    <row r="18" spans="1:34" ht="15.75" customHeight="1" x14ac:dyDescent="0.35">
      <c r="A18" s="8" t="s">
        <v>12</v>
      </c>
      <c r="B18" s="7" t="s">
        <v>22</v>
      </c>
      <c r="C18" s="6">
        <v>175</v>
      </c>
      <c r="D18" s="7" t="s">
        <v>98</v>
      </c>
      <c r="E18" s="44">
        <f>SUM($G18:$AH18)</f>
        <v>0</v>
      </c>
      <c r="F18" s="35" t="s">
        <v>1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8"/>
    </row>
    <row r="19" spans="1:34" ht="15.75" customHeight="1" x14ac:dyDescent="0.35">
      <c r="A19" s="8" t="s">
        <v>101</v>
      </c>
      <c r="B19" s="24" t="s">
        <v>21</v>
      </c>
      <c r="C19" s="6">
        <v>175</v>
      </c>
      <c r="D19" s="24" t="s">
        <v>86</v>
      </c>
      <c r="E19" s="44">
        <f t="shared" si="4"/>
        <v>5600</v>
      </c>
      <c r="F19" s="84" t="s">
        <v>100</v>
      </c>
      <c r="H19" s="57"/>
      <c r="I19" s="57"/>
      <c r="J19" s="57"/>
      <c r="K19" s="57"/>
      <c r="L19" s="57"/>
      <c r="M19" s="57"/>
      <c r="N19" s="57">
        <v>875</v>
      </c>
      <c r="O19" s="57">
        <v>1225</v>
      </c>
      <c r="P19" s="57">
        <v>1050</v>
      </c>
      <c r="Q19" s="57">
        <v>1525</v>
      </c>
      <c r="R19" s="57">
        <v>925</v>
      </c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8"/>
    </row>
    <row r="20" spans="1:34" ht="15.75" customHeight="1" x14ac:dyDescent="0.35">
      <c r="A20" s="8" t="s">
        <v>23</v>
      </c>
      <c r="B20" s="7" t="s">
        <v>24</v>
      </c>
      <c r="C20" s="6">
        <v>125</v>
      </c>
      <c r="D20" s="7" t="s">
        <v>88</v>
      </c>
      <c r="E20" s="44">
        <f t="shared" si="4"/>
        <v>0</v>
      </c>
      <c r="F20" s="35" t="s">
        <v>1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8"/>
    </row>
    <row r="21" spans="1:34" ht="15.6" x14ac:dyDescent="0.35">
      <c r="A21" s="8" t="s">
        <v>23</v>
      </c>
      <c r="B21" s="7" t="s">
        <v>25</v>
      </c>
      <c r="C21" s="6">
        <v>125</v>
      </c>
      <c r="D21" s="7" t="s">
        <v>89</v>
      </c>
      <c r="E21" s="44">
        <f t="shared" si="4"/>
        <v>0</v>
      </c>
      <c r="F21" s="35" t="s">
        <v>1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8"/>
    </row>
    <row r="22" spans="1:34" ht="15.6" x14ac:dyDescent="0.35">
      <c r="A22" s="8" t="s">
        <v>23</v>
      </c>
      <c r="B22" s="7" t="s">
        <v>25</v>
      </c>
      <c r="C22" s="6">
        <v>125</v>
      </c>
      <c r="D22" s="7" t="s">
        <v>90</v>
      </c>
      <c r="E22" s="44">
        <f t="shared" si="4"/>
        <v>15000</v>
      </c>
      <c r="F22" s="35" t="s">
        <v>1</v>
      </c>
      <c r="G22" s="57">
        <v>750</v>
      </c>
      <c r="H22" s="57">
        <v>1875</v>
      </c>
      <c r="I22" s="57"/>
      <c r="J22" s="57">
        <v>1250</v>
      </c>
      <c r="K22" s="57">
        <v>625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>
        <v>2125</v>
      </c>
      <c r="W22" s="57">
        <v>1000</v>
      </c>
      <c r="X22" s="57">
        <v>1500</v>
      </c>
      <c r="Y22" s="57">
        <v>1000</v>
      </c>
      <c r="Z22" s="57"/>
      <c r="AA22" s="57"/>
      <c r="AB22" s="57">
        <v>1375</v>
      </c>
      <c r="AC22" s="57">
        <v>875</v>
      </c>
      <c r="AD22" s="57">
        <v>875</v>
      </c>
      <c r="AE22" s="57">
        <v>1750</v>
      </c>
      <c r="AF22" s="57"/>
      <c r="AG22" s="57"/>
      <c r="AH22" s="58"/>
    </row>
    <row r="23" spans="1:34" ht="15.6" x14ac:dyDescent="0.35">
      <c r="A23" s="8" t="s">
        <v>12</v>
      </c>
      <c r="B23" s="7" t="s">
        <v>26</v>
      </c>
      <c r="C23" s="6">
        <v>125</v>
      </c>
      <c r="D23" s="7" t="s">
        <v>91</v>
      </c>
      <c r="E23" s="44">
        <f t="shared" si="4"/>
        <v>0</v>
      </c>
      <c r="F23" s="35" t="s">
        <v>1</v>
      </c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8"/>
    </row>
    <row r="24" spans="1:34" ht="15.6" x14ac:dyDescent="0.35">
      <c r="A24" s="8" t="s">
        <v>12</v>
      </c>
      <c r="B24" s="7" t="s">
        <v>27</v>
      </c>
      <c r="C24" s="6">
        <v>125</v>
      </c>
      <c r="D24" s="7" t="s">
        <v>92</v>
      </c>
      <c r="E24" s="44">
        <f t="shared" si="4"/>
        <v>0</v>
      </c>
      <c r="F24" s="35" t="s">
        <v>1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8"/>
    </row>
    <row r="25" spans="1:34" ht="13.2" x14ac:dyDescent="0.25">
      <c r="A25" s="8" t="s">
        <v>12</v>
      </c>
      <c r="B25" s="7" t="s">
        <v>28</v>
      </c>
      <c r="C25" s="6">
        <v>175</v>
      </c>
      <c r="D25" s="7" t="s">
        <v>29</v>
      </c>
      <c r="E25" s="44">
        <f t="shared" si="4"/>
        <v>0</v>
      </c>
      <c r="F25" s="35" t="s">
        <v>1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8"/>
    </row>
    <row r="26" spans="1:34" ht="13.2" x14ac:dyDescent="0.25">
      <c r="A26" s="8" t="s">
        <v>12</v>
      </c>
      <c r="B26" s="7" t="s">
        <v>30</v>
      </c>
      <c r="C26" s="6">
        <v>175</v>
      </c>
      <c r="D26" s="7" t="s">
        <v>31</v>
      </c>
      <c r="E26" s="44">
        <f t="shared" si="4"/>
        <v>4550</v>
      </c>
      <c r="F26" s="35" t="s">
        <v>1</v>
      </c>
      <c r="G26" s="57"/>
      <c r="H26" s="57"/>
      <c r="I26" s="57"/>
      <c r="J26" s="57">
        <v>1925</v>
      </c>
      <c r="K26" s="57"/>
      <c r="L26" s="57"/>
      <c r="M26" s="57"/>
      <c r="N26" s="57"/>
      <c r="O26" s="57">
        <v>875</v>
      </c>
      <c r="P26" s="57"/>
      <c r="Q26" s="57"/>
      <c r="R26" s="57">
        <v>700</v>
      </c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>
        <v>525</v>
      </c>
      <c r="AD26" s="57"/>
      <c r="AE26" s="57">
        <v>525</v>
      </c>
      <c r="AF26" s="57"/>
      <c r="AG26" s="57"/>
      <c r="AH26" s="58"/>
    </row>
    <row r="27" spans="1:34" ht="13.2" x14ac:dyDescent="0.25">
      <c r="A27" s="8" t="s">
        <v>12</v>
      </c>
      <c r="B27" s="7" t="s">
        <v>32</v>
      </c>
      <c r="C27" s="6">
        <v>175</v>
      </c>
      <c r="D27" s="7" t="s">
        <v>33</v>
      </c>
      <c r="E27" s="44">
        <f t="shared" si="4"/>
        <v>4200</v>
      </c>
      <c r="F27" s="35" t="s">
        <v>1</v>
      </c>
      <c r="G27" s="57"/>
      <c r="H27" s="57">
        <v>525</v>
      </c>
      <c r="I27" s="57"/>
      <c r="J27" s="57"/>
      <c r="K27" s="57"/>
      <c r="L27" s="57"/>
      <c r="M27" s="57"/>
      <c r="N27" s="57"/>
      <c r="O27" s="57">
        <v>1050</v>
      </c>
      <c r="P27" s="57"/>
      <c r="Q27" s="57"/>
      <c r="R27" s="57"/>
      <c r="S27" s="57"/>
      <c r="T27" s="57"/>
      <c r="U27" s="57"/>
      <c r="V27" s="57">
        <v>1050</v>
      </c>
      <c r="W27" s="57"/>
      <c r="X27" s="57"/>
      <c r="Y27" s="57"/>
      <c r="Z27" s="57"/>
      <c r="AA27" s="57"/>
      <c r="AB27" s="57"/>
      <c r="AC27" s="57">
        <v>875</v>
      </c>
      <c r="AD27" s="57"/>
      <c r="AE27" s="57">
        <v>700</v>
      </c>
      <c r="AF27" s="57"/>
      <c r="AG27" s="57"/>
      <c r="AH27" s="58"/>
    </row>
    <row r="28" spans="1:34" ht="15.6" x14ac:dyDescent="0.35">
      <c r="A28" s="8" t="s">
        <v>12</v>
      </c>
      <c r="B28" s="7" t="s">
        <v>34</v>
      </c>
      <c r="C28" s="6">
        <v>175</v>
      </c>
      <c r="D28" s="7" t="s">
        <v>95</v>
      </c>
      <c r="E28" s="44">
        <f t="shared" si="4"/>
        <v>2100</v>
      </c>
      <c r="F28" s="35" t="s">
        <v>1</v>
      </c>
      <c r="G28" s="57"/>
      <c r="H28" s="57">
        <v>700</v>
      </c>
      <c r="I28" s="57"/>
      <c r="J28" s="57"/>
      <c r="K28" s="57"/>
      <c r="L28" s="57"/>
      <c r="M28" s="57"/>
      <c r="N28" s="57"/>
      <c r="O28" s="57"/>
      <c r="P28" s="57"/>
      <c r="Q28" s="57">
        <v>700</v>
      </c>
      <c r="R28" s="57"/>
      <c r="S28" s="57"/>
      <c r="T28" s="57"/>
      <c r="U28" s="57"/>
      <c r="V28" s="57"/>
      <c r="W28" s="57"/>
      <c r="X28" s="57">
        <v>700</v>
      </c>
      <c r="Y28" s="57"/>
      <c r="Z28" s="57"/>
      <c r="AA28" s="57"/>
      <c r="AB28" s="57"/>
      <c r="AC28" s="57"/>
      <c r="AD28" s="57"/>
      <c r="AE28" s="57"/>
      <c r="AF28" s="57"/>
      <c r="AG28" s="57"/>
      <c r="AH28" s="58"/>
    </row>
    <row r="29" spans="1:34" ht="15.6" x14ac:dyDescent="0.35">
      <c r="A29" s="8" t="s">
        <v>12</v>
      </c>
      <c r="B29" s="7" t="s">
        <v>35</v>
      </c>
      <c r="C29" s="6">
        <v>180</v>
      </c>
      <c r="D29" s="7" t="s">
        <v>96</v>
      </c>
      <c r="E29" s="44">
        <f t="shared" si="4"/>
        <v>8460</v>
      </c>
      <c r="F29" s="35" t="s">
        <v>1</v>
      </c>
      <c r="G29" s="57"/>
      <c r="H29" s="57"/>
      <c r="I29" s="57">
        <v>540</v>
      </c>
      <c r="J29" s="57"/>
      <c r="K29" s="57">
        <v>1080</v>
      </c>
      <c r="L29" s="57"/>
      <c r="M29" s="57"/>
      <c r="N29" s="57">
        <v>540</v>
      </c>
      <c r="O29" s="57"/>
      <c r="P29" s="57">
        <v>1080</v>
      </c>
      <c r="Q29" s="57">
        <v>900</v>
      </c>
      <c r="R29" s="57">
        <v>540</v>
      </c>
      <c r="S29" s="57"/>
      <c r="T29" s="57"/>
      <c r="U29" s="57">
        <v>1620</v>
      </c>
      <c r="V29" s="57"/>
      <c r="W29" s="57">
        <v>540</v>
      </c>
      <c r="X29" s="57">
        <v>540</v>
      </c>
      <c r="Y29" s="57">
        <v>1080</v>
      </c>
      <c r="Z29" s="57"/>
      <c r="AA29" s="57"/>
      <c r="AB29" s="57"/>
      <c r="AC29" s="57"/>
      <c r="AD29" s="57"/>
      <c r="AE29" s="57"/>
      <c r="AF29" s="57"/>
      <c r="AG29" s="57"/>
      <c r="AH29" s="58"/>
    </row>
    <row r="30" spans="1:34" ht="13.2" x14ac:dyDescent="0.25">
      <c r="A30" s="8" t="s">
        <v>12</v>
      </c>
      <c r="B30" s="7" t="s">
        <v>36</v>
      </c>
      <c r="C30" s="6">
        <v>180</v>
      </c>
      <c r="D30" s="7" t="s">
        <v>37</v>
      </c>
      <c r="E30" s="44">
        <f t="shared" si="4"/>
        <v>0</v>
      </c>
      <c r="F30" s="35" t="s">
        <v>1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8"/>
    </row>
    <row r="31" spans="1:34" ht="13.2" x14ac:dyDescent="0.25">
      <c r="A31" s="9" t="s">
        <v>82</v>
      </c>
      <c r="B31" s="7" t="s">
        <v>38</v>
      </c>
      <c r="C31" s="6">
        <v>200</v>
      </c>
      <c r="D31" s="7" t="s">
        <v>39</v>
      </c>
      <c r="E31" s="44">
        <f t="shared" si="4"/>
        <v>8000</v>
      </c>
      <c r="F31" s="35" t="s">
        <v>1</v>
      </c>
      <c r="G31" s="57">
        <v>400</v>
      </c>
      <c r="H31" s="57"/>
      <c r="I31" s="57">
        <v>1000</v>
      </c>
      <c r="J31" s="57"/>
      <c r="K31" s="57">
        <v>400</v>
      </c>
      <c r="L31" s="57"/>
      <c r="M31" s="57"/>
      <c r="N31" s="57">
        <v>800</v>
      </c>
      <c r="O31" s="57"/>
      <c r="P31" s="57">
        <v>600</v>
      </c>
      <c r="Q31" s="57"/>
      <c r="R31" s="57">
        <v>400</v>
      </c>
      <c r="S31" s="57"/>
      <c r="T31" s="57"/>
      <c r="U31" s="57">
        <v>800</v>
      </c>
      <c r="V31" s="57"/>
      <c r="W31" s="57">
        <v>1000</v>
      </c>
      <c r="X31" s="57"/>
      <c r="Y31" s="57"/>
      <c r="Z31" s="57"/>
      <c r="AA31" s="57"/>
      <c r="AB31" s="57">
        <v>800</v>
      </c>
      <c r="AC31" s="57">
        <v>800</v>
      </c>
      <c r="AD31" s="57">
        <v>1000</v>
      </c>
      <c r="AE31" s="57"/>
      <c r="AF31" s="57"/>
      <c r="AG31" s="57"/>
      <c r="AH31" s="58"/>
    </row>
    <row r="32" spans="1:34" ht="13.2" x14ac:dyDescent="0.25">
      <c r="A32" s="9" t="s">
        <v>82</v>
      </c>
      <c r="B32" s="7" t="s">
        <v>40</v>
      </c>
      <c r="C32" s="6">
        <v>180</v>
      </c>
      <c r="D32" s="7" t="s">
        <v>41</v>
      </c>
      <c r="E32" s="44">
        <f t="shared" si="4"/>
        <v>0</v>
      </c>
      <c r="F32" s="35" t="s">
        <v>1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8"/>
    </row>
    <row r="33" spans="1:34" ht="13.2" x14ac:dyDescent="0.25">
      <c r="A33" s="9" t="s">
        <v>82</v>
      </c>
      <c r="B33" s="7" t="s">
        <v>42</v>
      </c>
      <c r="C33" s="6">
        <v>180</v>
      </c>
      <c r="D33" s="7" t="s">
        <v>43</v>
      </c>
      <c r="E33" s="44">
        <f t="shared" si="4"/>
        <v>3060</v>
      </c>
      <c r="F33" s="35" t="s">
        <v>1</v>
      </c>
      <c r="G33" s="57">
        <v>360</v>
      </c>
      <c r="H33" s="57"/>
      <c r="I33" s="57">
        <v>360</v>
      </c>
      <c r="J33" s="57"/>
      <c r="K33" s="57">
        <v>540</v>
      </c>
      <c r="L33" s="57"/>
      <c r="M33" s="57"/>
      <c r="N33" s="57">
        <v>360</v>
      </c>
      <c r="O33" s="57"/>
      <c r="P33" s="57">
        <v>540</v>
      </c>
      <c r="Q33" s="57"/>
      <c r="R33" s="57"/>
      <c r="S33" s="57"/>
      <c r="T33" s="57"/>
      <c r="U33" s="57">
        <v>360</v>
      </c>
      <c r="V33" s="57"/>
      <c r="W33" s="57"/>
      <c r="X33" s="57"/>
      <c r="Y33" s="57"/>
      <c r="Z33" s="57"/>
      <c r="AA33" s="57"/>
      <c r="AB33" s="57"/>
      <c r="AC33" s="57"/>
      <c r="AD33" s="57">
        <v>540</v>
      </c>
      <c r="AE33" s="57"/>
      <c r="AF33" s="57"/>
      <c r="AG33" s="57"/>
      <c r="AH33" s="58"/>
    </row>
    <row r="34" spans="1:34" ht="13.2" x14ac:dyDescent="0.25">
      <c r="A34" s="9" t="s">
        <v>82</v>
      </c>
      <c r="B34" s="7" t="s">
        <v>44</v>
      </c>
      <c r="C34" s="6">
        <v>180</v>
      </c>
      <c r="D34" s="7" t="s">
        <v>45</v>
      </c>
      <c r="E34" s="44">
        <f t="shared" si="4"/>
        <v>3240</v>
      </c>
      <c r="F34" s="35" t="s">
        <v>1</v>
      </c>
      <c r="G34" s="57">
        <v>540</v>
      </c>
      <c r="H34" s="57"/>
      <c r="I34" s="57">
        <v>540</v>
      </c>
      <c r="J34" s="57"/>
      <c r="K34" s="57">
        <v>540</v>
      </c>
      <c r="L34" s="57"/>
      <c r="M34" s="57"/>
      <c r="N34" s="57">
        <v>540</v>
      </c>
      <c r="O34" s="57"/>
      <c r="P34" s="57"/>
      <c r="Q34" s="57"/>
      <c r="R34" s="57">
        <v>540</v>
      </c>
      <c r="S34" s="57"/>
      <c r="T34" s="57"/>
      <c r="U34" s="57"/>
      <c r="V34" s="57"/>
      <c r="W34" s="57"/>
      <c r="X34" s="57"/>
      <c r="Y34" s="57">
        <v>360</v>
      </c>
      <c r="Z34" s="57"/>
      <c r="AA34" s="57"/>
      <c r="AB34" s="57"/>
      <c r="AC34" s="57"/>
      <c r="AD34" s="57">
        <v>180</v>
      </c>
      <c r="AE34" s="57"/>
      <c r="AF34" s="57"/>
      <c r="AG34" s="57"/>
      <c r="AH34" s="58"/>
    </row>
    <row r="35" spans="1:34" ht="13.2" x14ac:dyDescent="0.25">
      <c r="A35" s="9" t="s">
        <v>82</v>
      </c>
      <c r="B35" s="7" t="s">
        <v>46</v>
      </c>
      <c r="C35" s="6">
        <v>180</v>
      </c>
      <c r="D35" s="7" t="s">
        <v>47</v>
      </c>
      <c r="E35" s="44">
        <f t="shared" si="4"/>
        <v>0</v>
      </c>
      <c r="F35" s="35" t="s">
        <v>1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</row>
    <row r="36" spans="1:34" ht="13.2" x14ac:dyDescent="0.25">
      <c r="A36" s="9" t="s">
        <v>82</v>
      </c>
      <c r="B36" s="7" t="s">
        <v>48</v>
      </c>
      <c r="C36" s="6">
        <v>175</v>
      </c>
      <c r="D36" s="7" t="s">
        <v>49</v>
      </c>
      <c r="E36" s="44">
        <f t="shared" si="4"/>
        <v>1750</v>
      </c>
      <c r="F36" s="35" t="s">
        <v>1</v>
      </c>
      <c r="G36" s="57">
        <v>700</v>
      </c>
      <c r="H36" s="57"/>
      <c r="I36" s="57">
        <v>525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>
        <v>525</v>
      </c>
      <c r="AE36" s="57"/>
      <c r="AF36" s="57"/>
      <c r="AG36" s="57"/>
      <c r="AH36" s="58"/>
    </row>
    <row r="37" spans="1:34" ht="13.2" x14ac:dyDescent="0.25">
      <c r="A37" s="9" t="s">
        <v>82</v>
      </c>
      <c r="B37" s="7" t="s">
        <v>50</v>
      </c>
      <c r="C37" s="6">
        <v>180</v>
      </c>
      <c r="D37" s="7" t="s">
        <v>51</v>
      </c>
      <c r="E37" s="44">
        <f t="shared" si="4"/>
        <v>1080</v>
      </c>
      <c r="F37" s="35" t="s">
        <v>1</v>
      </c>
      <c r="G37" s="57"/>
      <c r="H37" s="57"/>
      <c r="I37" s="57"/>
      <c r="J37" s="57"/>
      <c r="K37" s="57"/>
      <c r="L37" s="57"/>
      <c r="M37" s="57"/>
      <c r="N37" s="57"/>
      <c r="O37" s="57"/>
      <c r="P37" s="57">
        <v>360</v>
      </c>
      <c r="Q37" s="57"/>
      <c r="R37" s="57"/>
      <c r="S37" s="57"/>
      <c r="T37" s="57"/>
      <c r="U37" s="57">
        <v>360</v>
      </c>
      <c r="V37" s="57"/>
      <c r="W37" s="57">
        <v>360</v>
      </c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8"/>
    </row>
    <row r="38" spans="1:34" ht="13.2" x14ac:dyDescent="0.25">
      <c r="A38" s="9" t="s">
        <v>82</v>
      </c>
      <c r="B38" s="7" t="s">
        <v>52</v>
      </c>
      <c r="C38" s="6">
        <v>180</v>
      </c>
      <c r="D38" s="7" t="s">
        <v>53</v>
      </c>
      <c r="E38" s="44">
        <f t="shared" si="4"/>
        <v>0</v>
      </c>
      <c r="F38" s="35" t="s">
        <v>1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8"/>
    </row>
    <row r="39" spans="1:34" ht="13.2" x14ac:dyDescent="0.25">
      <c r="A39" s="9" t="s">
        <v>82</v>
      </c>
      <c r="B39" s="7" t="s">
        <v>54</v>
      </c>
      <c r="C39" s="6">
        <v>180</v>
      </c>
      <c r="D39" s="7" t="s">
        <v>55</v>
      </c>
      <c r="E39" s="44">
        <f t="shared" si="4"/>
        <v>3780</v>
      </c>
      <c r="F39" s="35" t="s">
        <v>1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>
        <v>900</v>
      </c>
      <c r="AC39" s="57">
        <v>540</v>
      </c>
      <c r="AD39" s="57">
        <v>540</v>
      </c>
      <c r="AE39" s="57">
        <v>540</v>
      </c>
      <c r="AF39" s="57">
        <v>1260</v>
      </c>
      <c r="AG39" s="57"/>
      <c r="AH39" s="58"/>
    </row>
    <row r="40" spans="1:34" ht="13.2" x14ac:dyDescent="0.25">
      <c r="A40" s="9" t="s">
        <v>82</v>
      </c>
      <c r="B40" s="7" t="s">
        <v>56</v>
      </c>
      <c r="C40" s="6">
        <v>180</v>
      </c>
      <c r="D40" s="7" t="s">
        <v>57</v>
      </c>
      <c r="E40" s="44">
        <f t="shared" si="4"/>
        <v>0</v>
      </c>
      <c r="F40" s="35" t="s">
        <v>1</v>
      </c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8"/>
    </row>
    <row r="41" spans="1:34" ht="13.2" x14ac:dyDescent="0.25">
      <c r="A41" s="8" t="s">
        <v>12</v>
      </c>
      <c r="B41" s="7" t="s">
        <v>58</v>
      </c>
      <c r="C41" s="6">
        <v>180</v>
      </c>
      <c r="D41" s="7" t="s">
        <v>59</v>
      </c>
      <c r="E41" s="44">
        <f t="shared" si="4"/>
        <v>0</v>
      </c>
      <c r="F41" s="35" t="s">
        <v>1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8"/>
    </row>
    <row r="42" spans="1:34" ht="13.2" x14ac:dyDescent="0.25">
      <c r="A42" s="70" t="s">
        <v>12</v>
      </c>
      <c r="B42" s="71" t="s">
        <v>60</v>
      </c>
      <c r="C42" s="72">
        <v>180</v>
      </c>
      <c r="D42" s="71" t="s">
        <v>61</v>
      </c>
      <c r="E42" s="73">
        <f t="shared" ref="E42" si="5">SUM($F42:$AH42)</f>
        <v>0</v>
      </c>
      <c r="F42" s="74" t="s">
        <v>2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6"/>
    </row>
    <row r="43" spans="1:34" ht="15.6" x14ac:dyDescent="0.35">
      <c r="A43" s="26" t="s">
        <v>12</v>
      </c>
      <c r="B43" s="27" t="s">
        <v>22</v>
      </c>
      <c r="C43" s="28">
        <v>175</v>
      </c>
      <c r="D43" s="27" t="s">
        <v>98</v>
      </c>
      <c r="E43" s="45">
        <f>SUM($G43:$AH43)</f>
        <v>10375</v>
      </c>
      <c r="F43" s="36" t="s">
        <v>2</v>
      </c>
      <c r="G43" s="59">
        <v>525</v>
      </c>
      <c r="H43" s="59">
        <v>525</v>
      </c>
      <c r="I43" s="59">
        <v>750</v>
      </c>
      <c r="J43" s="59"/>
      <c r="K43" s="59"/>
      <c r="L43" s="59"/>
      <c r="M43" s="59"/>
      <c r="N43" s="59"/>
      <c r="O43" s="59"/>
      <c r="P43" s="59"/>
      <c r="Q43" s="59"/>
      <c r="R43" s="59">
        <v>875</v>
      </c>
      <c r="S43" s="59"/>
      <c r="T43" s="59"/>
      <c r="U43" s="59">
        <v>700</v>
      </c>
      <c r="V43" s="59"/>
      <c r="W43" s="59">
        <v>1050</v>
      </c>
      <c r="X43" s="59">
        <v>525</v>
      </c>
      <c r="Y43" s="59">
        <v>1400</v>
      </c>
      <c r="Z43" s="59"/>
      <c r="AA43" s="59"/>
      <c r="AB43" s="59">
        <v>875</v>
      </c>
      <c r="AC43" s="59">
        <v>525</v>
      </c>
      <c r="AD43" s="59">
        <v>1225</v>
      </c>
      <c r="AE43" s="59">
        <v>700</v>
      </c>
      <c r="AF43" s="59">
        <v>700</v>
      </c>
      <c r="AG43" s="59"/>
      <c r="AH43" s="60"/>
    </row>
    <row r="44" spans="1:34" ht="15.6" x14ac:dyDescent="0.35">
      <c r="A44" s="26" t="s">
        <v>12</v>
      </c>
      <c r="B44" s="27" t="s">
        <v>62</v>
      </c>
      <c r="C44" s="28">
        <v>180</v>
      </c>
      <c r="D44" s="27" t="s">
        <v>84</v>
      </c>
      <c r="E44" s="45">
        <f t="shared" ref="E44:E54" si="6">SUM($G44:$AH44)</f>
        <v>4140</v>
      </c>
      <c r="F44" s="36" t="s">
        <v>2</v>
      </c>
      <c r="G44" s="59">
        <v>360</v>
      </c>
      <c r="H44" s="59">
        <v>360</v>
      </c>
      <c r="I44" s="59">
        <v>180</v>
      </c>
      <c r="J44" s="59">
        <v>360</v>
      </c>
      <c r="K44" s="59">
        <v>180</v>
      </c>
      <c r="L44" s="59"/>
      <c r="M44" s="59"/>
      <c r="N44" s="59">
        <v>180</v>
      </c>
      <c r="O44" s="59"/>
      <c r="P44" s="59">
        <v>180</v>
      </c>
      <c r="Q44" s="59"/>
      <c r="R44" s="59">
        <v>180</v>
      </c>
      <c r="S44" s="59"/>
      <c r="T44" s="59"/>
      <c r="U44" s="59">
        <v>360</v>
      </c>
      <c r="V44" s="59"/>
      <c r="W44" s="59">
        <v>360</v>
      </c>
      <c r="X44" s="59"/>
      <c r="Y44" s="59">
        <v>360</v>
      </c>
      <c r="Z44" s="59"/>
      <c r="AA44" s="59"/>
      <c r="AB44" s="59">
        <v>360</v>
      </c>
      <c r="AC44" s="59"/>
      <c r="AD44" s="59">
        <v>360</v>
      </c>
      <c r="AE44" s="59"/>
      <c r="AF44" s="59">
        <v>360</v>
      </c>
      <c r="AG44" s="59"/>
      <c r="AH44" s="60"/>
    </row>
    <row r="45" spans="1:34" ht="15.6" x14ac:dyDescent="0.35">
      <c r="A45" s="26" t="s">
        <v>12</v>
      </c>
      <c r="B45" s="27" t="s">
        <v>63</v>
      </c>
      <c r="C45" s="28">
        <v>150</v>
      </c>
      <c r="D45" s="27" t="s">
        <v>97</v>
      </c>
      <c r="E45" s="45">
        <f t="shared" si="6"/>
        <v>1800</v>
      </c>
      <c r="F45" s="36" t="s">
        <v>2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>
        <v>300</v>
      </c>
      <c r="S45" s="59"/>
      <c r="T45" s="59"/>
      <c r="U45" s="59">
        <v>300</v>
      </c>
      <c r="V45" s="59">
        <v>300</v>
      </c>
      <c r="W45" s="59">
        <v>300</v>
      </c>
      <c r="X45" s="59">
        <v>300</v>
      </c>
      <c r="Y45" s="59">
        <v>300</v>
      </c>
      <c r="Z45" s="59"/>
      <c r="AA45" s="59"/>
      <c r="AB45" s="59"/>
      <c r="AC45" s="59"/>
      <c r="AD45" s="59"/>
      <c r="AE45" s="59"/>
      <c r="AF45" s="59"/>
      <c r="AG45" s="59"/>
      <c r="AH45" s="60"/>
    </row>
    <row r="46" spans="1:34" ht="15.6" x14ac:dyDescent="0.35">
      <c r="A46" s="26" t="s">
        <v>12</v>
      </c>
      <c r="B46" s="27" t="s">
        <v>64</v>
      </c>
      <c r="C46" s="28">
        <v>180</v>
      </c>
      <c r="D46" s="27" t="s">
        <v>99</v>
      </c>
      <c r="E46" s="45">
        <f t="shared" si="6"/>
        <v>3960</v>
      </c>
      <c r="F46" s="36" t="s">
        <v>2</v>
      </c>
      <c r="G46" s="59">
        <v>180</v>
      </c>
      <c r="H46" s="59">
        <v>180</v>
      </c>
      <c r="I46" s="59">
        <v>180</v>
      </c>
      <c r="J46" s="59">
        <v>180</v>
      </c>
      <c r="K46" s="59">
        <v>180</v>
      </c>
      <c r="L46" s="59"/>
      <c r="M46" s="59"/>
      <c r="N46" s="59">
        <v>180</v>
      </c>
      <c r="O46" s="59">
        <v>180</v>
      </c>
      <c r="P46" s="59">
        <v>180</v>
      </c>
      <c r="Q46" s="59">
        <v>180</v>
      </c>
      <c r="R46" s="59">
        <v>180</v>
      </c>
      <c r="S46" s="59"/>
      <c r="T46" s="59"/>
      <c r="U46" s="59">
        <v>360</v>
      </c>
      <c r="V46" s="59"/>
      <c r="W46" s="59">
        <v>360</v>
      </c>
      <c r="X46" s="59"/>
      <c r="Y46" s="59">
        <v>360</v>
      </c>
      <c r="Z46" s="59"/>
      <c r="AA46" s="59"/>
      <c r="AB46" s="59">
        <v>360</v>
      </c>
      <c r="AC46" s="59"/>
      <c r="AD46" s="59">
        <v>360</v>
      </c>
      <c r="AE46" s="59"/>
      <c r="AF46" s="59">
        <v>360</v>
      </c>
      <c r="AG46" s="59"/>
      <c r="AH46" s="60"/>
    </row>
    <row r="47" spans="1:34" ht="15.6" x14ac:dyDescent="0.35">
      <c r="A47" s="26" t="s">
        <v>12</v>
      </c>
      <c r="B47" s="27" t="s">
        <v>65</v>
      </c>
      <c r="C47" s="28">
        <v>180</v>
      </c>
      <c r="D47" s="27" t="s">
        <v>85</v>
      </c>
      <c r="E47" s="45">
        <f t="shared" si="6"/>
        <v>9840</v>
      </c>
      <c r="F47" s="36" t="s">
        <v>2</v>
      </c>
      <c r="G47" s="59">
        <v>480</v>
      </c>
      <c r="H47" s="59">
        <v>240</v>
      </c>
      <c r="I47" s="59">
        <v>240</v>
      </c>
      <c r="J47" s="59">
        <v>480</v>
      </c>
      <c r="K47" s="59">
        <v>480</v>
      </c>
      <c r="L47" s="59"/>
      <c r="M47" s="59"/>
      <c r="N47" s="59">
        <v>480</v>
      </c>
      <c r="O47" s="59">
        <v>600</v>
      </c>
      <c r="P47" s="59">
        <v>480</v>
      </c>
      <c r="Q47" s="59">
        <v>600</v>
      </c>
      <c r="R47" s="59">
        <v>480</v>
      </c>
      <c r="S47" s="59"/>
      <c r="T47" s="59"/>
      <c r="U47" s="59">
        <v>480</v>
      </c>
      <c r="V47" s="59">
        <v>600</v>
      </c>
      <c r="W47" s="59">
        <v>480</v>
      </c>
      <c r="X47" s="59">
        <v>600</v>
      </c>
      <c r="Y47" s="59">
        <v>480</v>
      </c>
      <c r="Z47" s="59"/>
      <c r="AA47" s="59"/>
      <c r="AB47" s="59">
        <v>480</v>
      </c>
      <c r="AC47" s="59">
        <v>600</v>
      </c>
      <c r="AD47" s="59">
        <v>480</v>
      </c>
      <c r="AE47" s="59">
        <v>600</v>
      </c>
      <c r="AF47" s="59">
        <v>480</v>
      </c>
      <c r="AG47" s="59"/>
      <c r="AH47" s="60"/>
    </row>
    <row r="48" spans="1:34" ht="13.2" x14ac:dyDescent="0.25">
      <c r="A48" s="26" t="s">
        <v>12</v>
      </c>
      <c r="B48" s="27" t="s">
        <v>66</v>
      </c>
      <c r="C48" s="28">
        <v>180</v>
      </c>
      <c r="D48" s="27" t="s">
        <v>67</v>
      </c>
      <c r="E48" s="45">
        <f t="shared" si="6"/>
        <v>14400</v>
      </c>
      <c r="F48" s="36" t="s">
        <v>2</v>
      </c>
      <c r="G48" s="59">
        <v>720</v>
      </c>
      <c r="H48" s="59">
        <v>720</v>
      </c>
      <c r="I48" s="59">
        <v>720</v>
      </c>
      <c r="J48" s="59">
        <v>720</v>
      </c>
      <c r="K48" s="59">
        <v>720</v>
      </c>
      <c r="L48" s="59"/>
      <c r="M48" s="59"/>
      <c r="N48" s="59">
        <v>720</v>
      </c>
      <c r="O48" s="59">
        <v>720</v>
      </c>
      <c r="P48" s="59">
        <v>720</v>
      </c>
      <c r="Q48" s="59">
        <v>720</v>
      </c>
      <c r="R48" s="59">
        <v>720</v>
      </c>
      <c r="S48" s="59"/>
      <c r="T48" s="59"/>
      <c r="U48" s="59">
        <v>720</v>
      </c>
      <c r="V48" s="59">
        <v>720</v>
      </c>
      <c r="W48" s="59">
        <v>720</v>
      </c>
      <c r="X48" s="59">
        <v>720</v>
      </c>
      <c r="Y48" s="59">
        <v>720</v>
      </c>
      <c r="Z48" s="59"/>
      <c r="AA48" s="59"/>
      <c r="AB48" s="59">
        <v>720</v>
      </c>
      <c r="AC48" s="59">
        <v>720</v>
      </c>
      <c r="AD48" s="59">
        <v>720</v>
      </c>
      <c r="AE48" s="59">
        <v>720</v>
      </c>
      <c r="AF48" s="59">
        <v>720</v>
      </c>
      <c r="AG48" s="59"/>
      <c r="AH48" s="60"/>
    </row>
    <row r="49" spans="1:34" ht="13.2" x14ac:dyDescent="0.25">
      <c r="A49" s="26" t="s">
        <v>12</v>
      </c>
      <c r="B49" s="27" t="s">
        <v>68</v>
      </c>
      <c r="C49" s="28">
        <v>180</v>
      </c>
      <c r="D49" s="27" t="s">
        <v>69</v>
      </c>
      <c r="E49" s="45">
        <f t="shared" si="6"/>
        <v>1080</v>
      </c>
      <c r="F49" s="36" t="s">
        <v>2</v>
      </c>
      <c r="G49" s="59"/>
      <c r="H49" s="59"/>
      <c r="I49" s="59"/>
      <c r="J49" s="59"/>
      <c r="K49" s="59"/>
      <c r="L49" s="59"/>
      <c r="M49" s="59"/>
      <c r="N49" s="59"/>
      <c r="O49" s="59">
        <v>180</v>
      </c>
      <c r="P49" s="59"/>
      <c r="Q49" s="59">
        <v>180</v>
      </c>
      <c r="R49" s="59"/>
      <c r="S49" s="59"/>
      <c r="T49" s="59"/>
      <c r="U49" s="59"/>
      <c r="V49" s="59">
        <v>180</v>
      </c>
      <c r="W49" s="59"/>
      <c r="X49" s="59">
        <v>180</v>
      </c>
      <c r="Y49" s="59"/>
      <c r="Z49" s="59"/>
      <c r="AA49" s="59"/>
      <c r="AB49" s="59"/>
      <c r="AC49" s="59">
        <v>180</v>
      </c>
      <c r="AD49" s="59"/>
      <c r="AE49" s="59">
        <v>180</v>
      </c>
      <c r="AF49" s="59"/>
      <c r="AG49" s="59"/>
      <c r="AH49" s="60"/>
    </row>
    <row r="50" spans="1:34" ht="13.2" x14ac:dyDescent="0.25">
      <c r="A50" s="26" t="s">
        <v>12</v>
      </c>
      <c r="B50" s="27" t="s">
        <v>70</v>
      </c>
      <c r="C50" s="29">
        <v>150</v>
      </c>
      <c r="D50" s="27" t="s">
        <v>71</v>
      </c>
      <c r="E50" s="45">
        <f t="shared" si="6"/>
        <v>600</v>
      </c>
      <c r="F50" s="36" t="s">
        <v>2</v>
      </c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>
        <v>300</v>
      </c>
      <c r="Y50" s="59"/>
      <c r="Z50" s="59"/>
      <c r="AA50" s="59"/>
      <c r="AB50" s="59"/>
      <c r="AC50" s="59">
        <v>300</v>
      </c>
      <c r="AD50" s="59"/>
      <c r="AE50" s="59"/>
      <c r="AF50" s="59"/>
      <c r="AG50" s="59"/>
      <c r="AH50" s="60"/>
    </row>
    <row r="51" spans="1:34" ht="13.2" x14ac:dyDescent="0.25">
      <c r="A51" s="26" t="s">
        <v>12</v>
      </c>
      <c r="B51" s="27" t="s">
        <v>72</v>
      </c>
      <c r="C51" s="29">
        <v>150</v>
      </c>
      <c r="D51" s="27" t="s">
        <v>73</v>
      </c>
      <c r="E51" s="45">
        <f t="shared" si="6"/>
        <v>4800</v>
      </c>
      <c r="F51" s="36" t="s">
        <v>2</v>
      </c>
      <c r="G51" s="59"/>
      <c r="H51" s="59"/>
      <c r="I51" s="59"/>
      <c r="J51" s="59">
        <v>300</v>
      </c>
      <c r="K51" s="59">
        <v>150</v>
      </c>
      <c r="L51" s="59"/>
      <c r="M51" s="59"/>
      <c r="N51" s="59">
        <v>450</v>
      </c>
      <c r="O51" s="59">
        <v>450</v>
      </c>
      <c r="P51" s="59">
        <v>450</v>
      </c>
      <c r="Q51" s="59">
        <v>450</v>
      </c>
      <c r="R51" s="59">
        <v>450</v>
      </c>
      <c r="S51" s="59"/>
      <c r="T51" s="59"/>
      <c r="U51" s="59">
        <v>300</v>
      </c>
      <c r="V51" s="59">
        <v>300</v>
      </c>
      <c r="W51" s="59">
        <v>300</v>
      </c>
      <c r="X51" s="59">
        <v>300</v>
      </c>
      <c r="Y51" s="59">
        <v>300</v>
      </c>
      <c r="Z51" s="59"/>
      <c r="AA51" s="59"/>
      <c r="AB51" s="59">
        <v>300</v>
      </c>
      <c r="AC51" s="59">
        <v>300</v>
      </c>
      <c r="AD51" s="59"/>
      <c r="AE51" s="59"/>
      <c r="AF51" s="59"/>
      <c r="AG51" s="59"/>
      <c r="AH51" s="60"/>
    </row>
    <row r="52" spans="1:34" ht="13.2" x14ac:dyDescent="0.25">
      <c r="A52" s="26" t="s">
        <v>12</v>
      </c>
      <c r="B52" s="27" t="s">
        <v>74</v>
      </c>
      <c r="C52" s="29">
        <v>120</v>
      </c>
      <c r="D52" s="27" t="s">
        <v>75</v>
      </c>
      <c r="E52" s="45">
        <f t="shared" si="6"/>
        <v>2160</v>
      </c>
      <c r="F52" s="36" t="s">
        <v>2</v>
      </c>
      <c r="G52" s="59">
        <v>180</v>
      </c>
      <c r="H52" s="59"/>
      <c r="I52" s="59">
        <v>180</v>
      </c>
      <c r="J52" s="59"/>
      <c r="K52" s="59">
        <v>180</v>
      </c>
      <c r="L52" s="59"/>
      <c r="M52" s="59"/>
      <c r="N52" s="59">
        <v>180</v>
      </c>
      <c r="O52" s="59"/>
      <c r="P52" s="59">
        <v>180</v>
      </c>
      <c r="Q52" s="59"/>
      <c r="R52" s="59">
        <v>180</v>
      </c>
      <c r="S52" s="59"/>
      <c r="T52" s="59"/>
      <c r="U52" s="59">
        <v>180</v>
      </c>
      <c r="V52" s="59"/>
      <c r="W52" s="59">
        <v>180</v>
      </c>
      <c r="X52" s="59"/>
      <c r="Y52" s="59">
        <v>180</v>
      </c>
      <c r="Z52" s="59"/>
      <c r="AA52" s="59"/>
      <c r="AB52" s="59">
        <v>180</v>
      </c>
      <c r="AC52" s="59"/>
      <c r="AD52" s="59">
        <v>180</v>
      </c>
      <c r="AE52" s="59"/>
      <c r="AF52" s="59">
        <v>180</v>
      </c>
      <c r="AG52" s="59"/>
      <c r="AH52" s="60"/>
    </row>
    <row r="53" spans="1:34" ht="13.2" x14ac:dyDescent="0.25">
      <c r="A53" s="26" t="s">
        <v>12</v>
      </c>
      <c r="B53" s="27" t="s">
        <v>76</v>
      </c>
      <c r="C53" s="29">
        <v>180</v>
      </c>
      <c r="D53" s="27" t="s">
        <v>77</v>
      </c>
      <c r="E53" s="45">
        <f t="shared" si="6"/>
        <v>3600</v>
      </c>
      <c r="F53" s="36" t="s">
        <v>2</v>
      </c>
      <c r="G53" s="59">
        <v>180</v>
      </c>
      <c r="H53" s="59">
        <v>180</v>
      </c>
      <c r="I53" s="59">
        <v>180</v>
      </c>
      <c r="J53" s="59">
        <v>180</v>
      </c>
      <c r="K53" s="59">
        <v>180</v>
      </c>
      <c r="L53" s="59"/>
      <c r="M53" s="59"/>
      <c r="N53" s="59">
        <v>180</v>
      </c>
      <c r="O53" s="59">
        <v>180</v>
      </c>
      <c r="P53" s="59">
        <v>180</v>
      </c>
      <c r="Q53" s="59">
        <v>180</v>
      </c>
      <c r="R53" s="59">
        <v>180</v>
      </c>
      <c r="S53" s="59"/>
      <c r="T53" s="59"/>
      <c r="U53" s="59">
        <v>180</v>
      </c>
      <c r="V53" s="59">
        <v>180</v>
      </c>
      <c r="W53" s="59">
        <v>180</v>
      </c>
      <c r="X53" s="59">
        <v>180</v>
      </c>
      <c r="Y53" s="59">
        <v>180</v>
      </c>
      <c r="Z53" s="59"/>
      <c r="AA53" s="59"/>
      <c r="AB53" s="59">
        <v>180</v>
      </c>
      <c r="AC53" s="59">
        <v>180</v>
      </c>
      <c r="AD53" s="59">
        <v>180</v>
      </c>
      <c r="AE53" s="59">
        <v>180</v>
      </c>
      <c r="AF53" s="59">
        <v>180</v>
      </c>
      <c r="AG53" s="59"/>
      <c r="AH53" s="60"/>
    </row>
    <row r="54" spans="1:34" ht="13.8" thickBot="1" x14ac:dyDescent="0.3">
      <c r="A54" s="30" t="s">
        <v>12</v>
      </c>
      <c r="B54" s="31" t="s">
        <v>78</v>
      </c>
      <c r="C54" s="32">
        <v>180</v>
      </c>
      <c r="D54" s="31" t="s">
        <v>79</v>
      </c>
      <c r="E54" s="46">
        <f t="shared" si="6"/>
        <v>360</v>
      </c>
      <c r="F54" s="37" t="s">
        <v>2</v>
      </c>
      <c r="G54" s="61"/>
      <c r="H54" s="61"/>
      <c r="I54" s="61">
        <v>180</v>
      </c>
      <c r="J54" s="61"/>
      <c r="K54" s="61"/>
      <c r="L54" s="61"/>
      <c r="M54" s="61"/>
      <c r="N54" s="61">
        <v>180</v>
      </c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2"/>
    </row>
    <row r="55" spans="1:34" ht="13.2" x14ac:dyDescent="0.25">
      <c r="B55" s="1"/>
      <c r="C55" s="2"/>
      <c r="D55" s="1"/>
    </row>
    <row r="56" spans="1:34" ht="13.2" x14ac:dyDescent="0.25">
      <c r="C56" s="3"/>
    </row>
    <row r="57" spans="1:34" ht="13.2" x14ac:dyDescent="0.25">
      <c r="C57" s="3"/>
    </row>
    <row r="58" spans="1:34" ht="13.2" x14ac:dyDescent="0.25">
      <c r="C58" s="3"/>
    </row>
    <row r="59" spans="1:34" ht="13.2" x14ac:dyDescent="0.25">
      <c r="C59" s="3"/>
    </row>
    <row r="60" spans="1:34" ht="13.2" x14ac:dyDescent="0.25">
      <c r="C60" s="3"/>
    </row>
    <row r="61" spans="1:34" ht="13.2" x14ac:dyDescent="0.25">
      <c r="C61" s="3"/>
    </row>
    <row r="62" spans="1:34" ht="13.2" x14ac:dyDescent="0.25">
      <c r="C62" s="3"/>
    </row>
    <row r="63" spans="1:34" ht="13.2" x14ac:dyDescent="0.25">
      <c r="C63" s="3"/>
    </row>
    <row r="64" spans="1:34" ht="13.2" x14ac:dyDescent="0.25">
      <c r="C64" s="4"/>
    </row>
    <row r="65" spans="3:3" ht="13.2" x14ac:dyDescent="0.25">
      <c r="C65" s="4"/>
    </row>
    <row r="66" spans="3:3" ht="13.2" x14ac:dyDescent="0.25">
      <c r="C66" s="4"/>
    </row>
    <row r="67" spans="3:3" ht="13.2" x14ac:dyDescent="0.25">
      <c r="C67" s="4"/>
    </row>
    <row r="68" spans="3:3" ht="13.2" x14ac:dyDescent="0.25">
      <c r="C68" s="4"/>
    </row>
    <row r="69" spans="3:3" ht="13.2" x14ac:dyDescent="0.25">
      <c r="C69" s="4"/>
    </row>
    <row r="70" spans="3:3" ht="13.2" x14ac:dyDescent="0.25">
      <c r="C70" s="4"/>
    </row>
    <row r="71" spans="3:3" ht="13.2" x14ac:dyDescent="0.25">
      <c r="C71" s="4"/>
    </row>
    <row r="72" spans="3:3" ht="13.2" x14ac:dyDescent="0.25">
      <c r="C72" s="4"/>
    </row>
    <row r="73" spans="3:3" ht="13.2" x14ac:dyDescent="0.25">
      <c r="C73" s="4"/>
    </row>
    <row r="74" spans="3:3" ht="13.2" x14ac:dyDescent="0.25">
      <c r="C74" s="4"/>
    </row>
    <row r="75" spans="3:3" ht="13.2" x14ac:dyDescent="0.25">
      <c r="C75" s="4"/>
    </row>
    <row r="76" spans="3:3" ht="13.2" x14ac:dyDescent="0.25">
      <c r="C76" s="4"/>
    </row>
    <row r="77" spans="3:3" ht="13.2" x14ac:dyDescent="0.25">
      <c r="C77" s="4"/>
    </row>
    <row r="78" spans="3:3" ht="13.2" x14ac:dyDescent="0.25">
      <c r="C78" s="4"/>
    </row>
    <row r="79" spans="3:3" ht="13.2" x14ac:dyDescent="0.25">
      <c r="C79" s="4"/>
    </row>
    <row r="80" spans="3:3" ht="13.2" x14ac:dyDescent="0.25">
      <c r="C80" s="4"/>
    </row>
    <row r="81" spans="3:3" ht="13.2" x14ac:dyDescent="0.25">
      <c r="C81" s="4"/>
    </row>
    <row r="82" spans="3:3" ht="13.2" x14ac:dyDescent="0.25">
      <c r="C82" s="4"/>
    </row>
    <row r="83" spans="3:3" ht="13.2" x14ac:dyDescent="0.25">
      <c r="C83" s="4"/>
    </row>
    <row r="84" spans="3:3" ht="13.2" x14ac:dyDescent="0.25">
      <c r="C84" s="4"/>
    </row>
    <row r="85" spans="3:3" ht="13.2" x14ac:dyDescent="0.25">
      <c r="C85" s="4"/>
    </row>
    <row r="86" spans="3:3" ht="13.2" x14ac:dyDescent="0.25">
      <c r="C86" s="4"/>
    </row>
    <row r="87" spans="3:3" ht="13.2" x14ac:dyDescent="0.25">
      <c r="C87" s="4"/>
    </row>
    <row r="88" spans="3:3" ht="13.2" x14ac:dyDescent="0.25">
      <c r="C88" s="4"/>
    </row>
    <row r="89" spans="3:3" ht="13.2" x14ac:dyDescent="0.25">
      <c r="C89" s="4"/>
    </row>
    <row r="90" spans="3:3" ht="13.2" x14ac:dyDescent="0.25">
      <c r="C90" s="4"/>
    </row>
    <row r="91" spans="3:3" ht="13.2" x14ac:dyDescent="0.25">
      <c r="C91" s="4"/>
    </row>
    <row r="92" spans="3:3" ht="13.2" x14ac:dyDescent="0.25">
      <c r="C92" s="4"/>
    </row>
    <row r="93" spans="3:3" ht="13.2" x14ac:dyDescent="0.25">
      <c r="C93" s="4"/>
    </row>
    <row r="94" spans="3:3" ht="13.2" x14ac:dyDescent="0.25">
      <c r="C94" s="4"/>
    </row>
    <row r="95" spans="3:3" ht="13.2" x14ac:dyDescent="0.25">
      <c r="C95" s="3"/>
    </row>
    <row r="96" spans="3:3" ht="13.2" x14ac:dyDescent="0.25">
      <c r="C96" s="3"/>
    </row>
    <row r="97" spans="3:3" ht="13.2" x14ac:dyDescent="0.25">
      <c r="C97" s="3"/>
    </row>
    <row r="98" spans="3:3" ht="13.2" x14ac:dyDescent="0.25">
      <c r="C98" s="3"/>
    </row>
    <row r="99" spans="3:3" ht="13.2" x14ac:dyDescent="0.25">
      <c r="C99" s="3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진민수</dc:creator>
  <cp:lastModifiedBy>이소현</cp:lastModifiedBy>
  <dcterms:created xsi:type="dcterms:W3CDTF">2025-12-18T07:18:27Z</dcterms:created>
  <dcterms:modified xsi:type="dcterms:W3CDTF">2025-12-22T04:53:28Z</dcterms:modified>
</cp:coreProperties>
</file>