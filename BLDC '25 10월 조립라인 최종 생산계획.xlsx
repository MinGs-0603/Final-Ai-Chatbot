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nmi\OneDrive\바탕 화면\로컬 AI 메이커스랩\더미 데이터\최종\"/>
    </mc:Choice>
  </mc:AlternateContent>
  <xr:revisionPtr revIDLastSave="0" documentId="13_ncr:1_{CBE2E4A9-06E0-4D3C-A388-70CF282FCE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" i="1" l="1"/>
  <c r="AJ5" i="1"/>
  <c r="AK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I5" i="1"/>
  <c r="J5" i="1"/>
  <c r="K5" i="1"/>
  <c r="L5" i="1"/>
  <c r="M5" i="1"/>
  <c r="N5" i="1"/>
  <c r="O5" i="1"/>
  <c r="P5" i="1"/>
  <c r="Q5" i="1"/>
  <c r="H5" i="1"/>
  <c r="E11" i="1"/>
  <c r="E12" i="1"/>
  <c r="E10" i="1"/>
  <c r="G5" i="1"/>
  <c r="H6" i="1" l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G7" i="1"/>
  <c r="G6" i="1"/>
  <c r="E13" i="1" l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7" i="1" l="1"/>
  <c r="E6" i="1"/>
  <c r="E5" i="1"/>
  <c r="C4" i="1" l="1"/>
</calcChain>
</file>

<file path=xl/sharedStrings.xml><?xml version="1.0" encoding="utf-8"?>
<sst xmlns="http://schemas.openxmlformats.org/spreadsheetml/2006/main" count="219" uniqueCount="101">
  <si>
    <t>일 CAPA</t>
    <phoneticPr fontId="2" type="noConversion"/>
  </si>
  <si>
    <t>조립1</t>
    <phoneticPr fontId="2" type="noConversion"/>
  </si>
  <si>
    <t>조립2</t>
    <phoneticPr fontId="2" type="noConversion"/>
  </si>
  <si>
    <t>조립3</t>
    <phoneticPr fontId="2" type="noConversion"/>
  </si>
  <si>
    <t>구분</t>
    <phoneticPr fontId="2" type="noConversion"/>
  </si>
  <si>
    <t>CODE</t>
    <phoneticPr fontId="2" type="noConversion"/>
  </si>
  <si>
    <t>PLT</t>
    <phoneticPr fontId="2" type="noConversion"/>
  </si>
  <si>
    <t>품명</t>
    <phoneticPr fontId="2" type="noConversion"/>
  </si>
  <si>
    <t>생산 합계</t>
    <phoneticPr fontId="2" type="noConversion"/>
  </si>
  <si>
    <t>현장달력</t>
    <phoneticPr fontId="2" type="noConversion"/>
  </si>
  <si>
    <t>LINE</t>
    <phoneticPr fontId="2" type="noConversion"/>
  </si>
  <si>
    <t>근무</t>
    <phoneticPr fontId="2" type="noConversion"/>
  </si>
  <si>
    <t>FLANGE</t>
    <phoneticPr fontId="2" type="noConversion"/>
  </si>
  <si>
    <t>FAN</t>
    <phoneticPr fontId="2" type="noConversion"/>
  </si>
  <si>
    <t>MOTOR</t>
    <phoneticPr fontId="2" type="noConversion"/>
  </si>
  <si>
    <t>휴무</t>
    <phoneticPr fontId="2" type="noConversion"/>
  </si>
  <si>
    <t>근무</t>
    <phoneticPr fontId="2" type="noConversion"/>
  </si>
  <si>
    <t xml:space="preserve">A0660011C00 </t>
  </si>
  <si>
    <t>WL LHD</t>
  </si>
  <si>
    <t xml:space="preserve">A0660012C00 </t>
  </si>
  <si>
    <t>WL RHD</t>
    <phoneticPr fontId="2" type="noConversion"/>
  </si>
  <si>
    <t>THS0104601</t>
  </si>
  <si>
    <t>THS0065801</t>
  </si>
  <si>
    <t>THS0070200</t>
  </si>
  <si>
    <t>THS0107200</t>
  </si>
  <si>
    <t>THS0105700</t>
  </si>
  <si>
    <t>THS0107300</t>
  </si>
  <si>
    <t>THS0066000</t>
  </si>
  <si>
    <t>THS0065900</t>
  </si>
  <si>
    <t>THS0071700</t>
  </si>
  <si>
    <t>THS0131001</t>
  </si>
  <si>
    <t>THS0132300</t>
  </si>
  <si>
    <t>THS0090903</t>
  </si>
  <si>
    <t>THS0120400</t>
  </si>
  <si>
    <t>THS0080704</t>
  </si>
  <si>
    <t>THS0128300</t>
  </si>
  <si>
    <t>THS0125301</t>
  </si>
  <si>
    <t>THS0128001</t>
  </si>
  <si>
    <t>THS0136900</t>
  </si>
  <si>
    <t>THS0189101</t>
  </si>
  <si>
    <t>THS0189401</t>
  </si>
  <si>
    <t>THS0066100</t>
  </si>
  <si>
    <t>THS0066200</t>
  </si>
  <si>
    <t>THS0135900</t>
  </si>
  <si>
    <t>THS0135802</t>
  </si>
  <si>
    <t>THS0152401</t>
  </si>
  <si>
    <t>THS0081801</t>
  </si>
  <si>
    <t>THS0122201</t>
  </si>
  <si>
    <t>THS0122301</t>
  </si>
  <si>
    <t>THS0216300</t>
  </si>
  <si>
    <t>THS0216400</t>
  </si>
  <si>
    <t>THS0081901</t>
  </si>
  <si>
    <t>THS0173102</t>
  </si>
  <si>
    <t>THS0173202</t>
  </si>
  <si>
    <t>V710 CW(RHD)</t>
  </si>
  <si>
    <t>V710 CCW(LHD)</t>
  </si>
  <si>
    <t>V710 AUX</t>
  </si>
  <si>
    <t>MEL/MET</t>
  </si>
  <si>
    <t>W601</t>
  </si>
  <si>
    <t>TAM EV</t>
  </si>
  <si>
    <t>NX4 RHD</t>
  </si>
  <si>
    <t>AX EV LHD</t>
  </si>
  <si>
    <t>AX EV RHD</t>
  </si>
  <si>
    <t>PACCARLHD</t>
  </si>
  <si>
    <t>PACCARRHD</t>
  </si>
  <si>
    <t>NAVISTAR</t>
  </si>
  <si>
    <t>M2</t>
  </si>
  <si>
    <t>SV LHD</t>
  </si>
  <si>
    <t>SV RHD</t>
  </si>
  <si>
    <t>MQ4 RHD</t>
  </si>
  <si>
    <t>TB5H SW CW IMPELLER ASM</t>
  </si>
  <si>
    <t>T6 (P703) 수밀(U725)</t>
    <phoneticPr fontId="2" type="noConversion"/>
  </si>
  <si>
    <t>BEV3 60 CN경도 60(수밀개선)</t>
    <phoneticPr fontId="2" type="noConversion"/>
  </si>
  <si>
    <t>BEV3 60 US경도 60(수밀개선)</t>
    <phoneticPr fontId="2" type="noConversion"/>
  </si>
  <si>
    <t>BEV3 60 MX경도 60(수밀개선)</t>
    <phoneticPr fontId="2" type="noConversion"/>
  </si>
  <si>
    <t>BEV3 30 US경도 30(수밀개선)</t>
    <phoneticPr fontId="2" type="noConversion"/>
  </si>
  <si>
    <t>BEV3 RHD 60 MX (수밀개선)</t>
    <phoneticPr fontId="2" type="noConversion"/>
  </si>
  <si>
    <t>RIVIAN R1T(한성전장)</t>
    <phoneticPr fontId="2" type="noConversion"/>
  </si>
  <si>
    <t>RIVIAN EDV(한성전장)</t>
    <phoneticPr fontId="2" type="noConversion"/>
  </si>
  <si>
    <t>SU2I</t>
    <phoneticPr fontId="2" type="noConversion"/>
  </si>
  <si>
    <t>SW (투원)_CCW</t>
    <phoneticPr fontId="2" type="noConversion"/>
  </si>
  <si>
    <t>SW (투원)_CW</t>
    <phoneticPr fontId="2" type="noConversion"/>
  </si>
  <si>
    <t>RG3(한성전장)</t>
    <phoneticPr fontId="2" type="noConversion"/>
  </si>
  <si>
    <t>THS0143201</t>
    <phoneticPr fontId="2" type="noConversion"/>
  </si>
  <si>
    <t>MX5(한성전장)</t>
    <phoneticPr fontId="2" type="noConversion"/>
  </si>
  <si>
    <t>MQ4 LHD(한성전장)</t>
    <phoneticPr fontId="2" type="noConversion"/>
  </si>
  <si>
    <t>SZ1e LHD (SV LHD CKD 포장)</t>
    <phoneticPr fontId="2" type="noConversion"/>
  </si>
  <si>
    <t>SZ1e RHD(SV RHD CKD 포장)</t>
    <phoneticPr fontId="2" type="noConversion"/>
  </si>
  <si>
    <t>TB5H SW CCW IMPELLER ASM</t>
    <phoneticPr fontId="2" type="noConversion"/>
  </si>
  <si>
    <t>THS0081601</t>
    <phoneticPr fontId="2" type="noConversion"/>
  </si>
  <si>
    <t>MX5a(한성전장)</t>
    <phoneticPr fontId="2" type="noConversion"/>
  </si>
  <si>
    <t>BLDC 조립라인 10월 생산 계획</t>
    <phoneticPr fontId="2" type="noConversion"/>
  </si>
  <si>
    <t>A2XX 중국(수밀개선/24MY)</t>
    <phoneticPr fontId="2" type="noConversion"/>
  </si>
  <si>
    <t>A2XX 미국(수밀개선/24MY)</t>
    <phoneticPr fontId="2" type="noConversion"/>
  </si>
  <si>
    <t>THS0060501</t>
    <phoneticPr fontId="2" type="noConversion"/>
  </si>
  <si>
    <t>THS0082901</t>
    <phoneticPr fontId="2" type="noConversion"/>
  </si>
  <si>
    <t>THS0098600</t>
    <phoneticPr fontId="2" type="noConversion"/>
  </si>
  <si>
    <t>조립1</t>
  </si>
  <si>
    <t>J9 GENS LHD(한성전장)수밀개선</t>
    <phoneticPr fontId="2" type="noConversion"/>
  </si>
  <si>
    <t>J9 GENS RHD수밀개선</t>
    <phoneticPr fontId="2" type="noConversion"/>
  </si>
  <si>
    <t>BERGSTROM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</si>
</sst>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m\/d\(aaa\)"/>
    <numFmt numFmtId="177" formatCode="#,##0;[=0]&quot;-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0000CC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DE91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41" fontId="0" fillId="0" borderId="0" xfId="1" applyFont="1">
      <alignment vertical="center"/>
    </xf>
    <xf numFmtId="0" fontId="3" fillId="0" borderId="0" xfId="0" applyFont="1">
      <alignment vertical="center"/>
    </xf>
    <xf numFmtId="0" fontId="7" fillId="3" borderId="3" xfId="0" applyFont="1" applyFill="1" applyBorder="1">
      <alignment vertical="center"/>
    </xf>
    <xf numFmtId="0" fontId="7" fillId="3" borderId="4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7" fillId="3" borderId="0" xfId="0" applyFont="1" applyFill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176" fontId="3" fillId="0" borderId="5" xfId="0" applyNumberFormat="1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>
      <alignment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>
      <alignment vertical="center"/>
    </xf>
    <xf numFmtId="0" fontId="10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5" xfId="0" applyFont="1" applyFill="1" applyBorder="1">
      <alignment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41" fontId="3" fillId="0" borderId="14" xfId="0" applyNumberFormat="1" applyFont="1" applyBorder="1">
      <alignment vertical="center"/>
    </xf>
    <xf numFmtId="0" fontId="7" fillId="3" borderId="1" xfId="0" applyFont="1" applyFill="1" applyBorder="1">
      <alignment vertical="center"/>
    </xf>
    <xf numFmtId="176" fontId="4" fillId="2" borderId="5" xfId="0" applyNumberFormat="1" applyFont="1" applyFill="1" applyBorder="1" applyAlignment="1">
      <alignment horizontal="center" vertical="center"/>
    </xf>
    <xf numFmtId="3" fontId="5" fillId="4" borderId="5" xfId="1" applyNumberFormat="1" applyFont="1" applyFill="1" applyBorder="1">
      <alignment vertical="center"/>
    </xf>
    <xf numFmtId="3" fontId="5" fillId="4" borderId="5" xfId="1" applyNumberFormat="1" applyFont="1" applyFill="1" applyBorder="1" applyAlignment="1">
      <alignment horizontal="right" vertical="center"/>
    </xf>
    <xf numFmtId="3" fontId="5" fillId="5" borderId="5" xfId="1" applyNumberFormat="1" applyFont="1" applyFill="1" applyBorder="1">
      <alignment vertical="center"/>
    </xf>
    <xf numFmtId="3" fontId="5" fillId="5" borderId="5" xfId="1" applyNumberFormat="1" applyFont="1" applyFill="1" applyBorder="1" applyAlignment="1">
      <alignment horizontal="right" vertical="center"/>
    </xf>
    <xf numFmtId="3" fontId="5" fillId="3" borderId="5" xfId="1" applyNumberFormat="1" applyFont="1" applyFill="1" applyBorder="1" applyAlignment="1">
      <alignment horizontal="right" vertical="center"/>
    </xf>
    <xf numFmtId="177" fontId="3" fillId="4" borderId="5" xfId="0" applyNumberFormat="1" applyFont="1" applyFill="1" applyBorder="1" applyAlignment="1">
      <alignment horizontal="center" vertical="center"/>
    </xf>
    <xf numFmtId="177" fontId="3" fillId="5" borderId="5" xfId="0" applyNumberFormat="1" applyFont="1" applyFill="1" applyBorder="1" applyAlignment="1">
      <alignment horizontal="center" vertical="center"/>
    </xf>
    <xf numFmtId="177" fontId="3" fillId="3" borderId="5" xfId="0" applyNumberFormat="1" applyFont="1" applyFill="1" applyBorder="1" applyAlignment="1">
      <alignment horizontal="center" vertical="center"/>
    </xf>
    <xf numFmtId="3" fontId="8" fillId="0" borderId="15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3" fontId="8" fillId="0" borderId="17" xfId="0" applyNumberFormat="1" applyFont="1" applyBorder="1" applyAlignment="1">
      <alignment horizontal="center" vertical="center"/>
    </xf>
    <xf numFmtId="177" fontId="3" fillId="0" borderId="8" xfId="0" applyNumberFormat="1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77" fontId="3" fillId="0" borderId="11" xfId="0" applyNumberFormat="1" applyFont="1" applyBorder="1" applyAlignment="1">
      <alignment horizontal="center" vertical="center"/>
    </xf>
    <xf numFmtId="177" fontId="3" fillId="0" borderId="13" xfId="0" applyNumberFormat="1" applyFont="1" applyBorder="1" applyAlignment="1">
      <alignment horizontal="center" vertical="center"/>
    </xf>
    <xf numFmtId="177" fontId="3" fillId="0" borderId="1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3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4" fillId="0" borderId="13" xfId="0" applyFont="1" applyBorder="1" applyAlignment="1">
      <alignment horizontal="right" vertical="center"/>
    </xf>
    <xf numFmtId="0" fontId="6" fillId="3" borderId="2" xfId="0" applyFont="1" applyFill="1" applyBorder="1">
      <alignment vertical="center"/>
    </xf>
    <xf numFmtId="0" fontId="11" fillId="3" borderId="0" xfId="0" applyFont="1" applyFill="1">
      <alignment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3" fillId="0" borderId="7" xfId="0" applyNumberFormat="1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177" fontId="3" fillId="0" borderId="12" xfId="0" applyNumberFormat="1" applyFont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B5E6A2"/>
      <color rgb="FFFDDE91"/>
      <color rgb="FFF9D9A9"/>
      <color rgb="FFE5FFFF"/>
      <color rgb="FFFFF8EF"/>
      <color rgb="FFFFDFAF"/>
      <color rgb="FF0000CC"/>
      <color rgb="FFFFFF99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3"/>
  <sheetViews>
    <sheetView tabSelected="1" topLeftCell="A18" zoomScale="70" zoomScaleNormal="70" workbookViewId="0">
      <pane xSplit="4" topLeftCell="N1" activePane="topRight" state="frozen"/>
      <selection pane="topRight" activeCell="W33" sqref="W33"/>
    </sheetView>
  </sheetViews>
  <sheetFormatPr defaultRowHeight="17" x14ac:dyDescent="0.45"/>
  <cols>
    <col min="2" max="2" width="14.5" customWidth="1"/>
    <col min="3" max="3" width="9.9140625" bestFit="1" customWidth="1"/>
    <col min="4" max="4" width="30.5" bestFit="1" customWidth="1"/>
    <col min="5" max="5" width="8.6640625" style="2"/>
    <col min="7" max="15" width="8.58203125" bestFit="1" customWidth="1"/>
    <col min="16" max="37" width="9.6640625" bestFit="1" customWidth="1"/>
  </cols>
  <sheetData>
    <row r="1" spans="1:39" x14ac:dyDescent="0.45">
      <c r="A1" s="42"/>
      <c r="B1" s="43" t="s">
        <v>0</v>
      </c>
      <c r="C1" s="44"/>
      <c r="D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9" x14ac:dyDescent="0.45">
      <c r="A2" s="45">
        <v>1</v>
      </c>
      <c r="B2" s="41">
        <v>3500</v>
      </c>
      <c r="C2" s="46"/>
      <c r="D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9" x14ac:dyDescent="0.45">
      <c r="A3" s="45">
        <v>2</v>
      </c>
      <c r="B3" s="41">
        <v>4000</v>
      </c>
      <c r="C3" s="46"/>
      <c r="D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9" ht="17.5" thickBot="1" x14ac:dyDescent="0.5">
      <c r="A4" s="47">
        <v>3</v>
      </c>
      <c r="B4" s="48">
        <v>3800</v>
      </c>
      <c r="C4" s="22">
        <f>SUM(E5:E7)</f>
        <v>161680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9" s="2" customFormat="1" x14ac:dyDescent="0.45">
      <c r="A5" s="50"/>
      <c r="B5" s="6"/>
      <c r="C5" s="6"/>
      <c r="D5" s="23"/>
      <c r="E5" s="33">
        <f>SUM($G5:$AK5)</f>
        <v>49100</v>
      </c>
      <c r="F5" s="51" t="s">
        <v>1</v>
      </c>
      <c r="G5" s="54">
        <f>SUM(G$10:G$17)</f>
        <v>3325</v>
      </c>
      <c r="H5" s="36">
        <f>SUM(H$10:H$17)</f>
        <v>3325</v>
      </c>
      <c r="I5" s="36">
        <f t="shared" ref="I5:AK5" si="0">SUM(I$10:I$17)</f>
        <v>0</v>
      </c>
      <c r="J5" s="36">
        <f t="shared" si="0"/>
        <v>0</v>
      </c>
      <c r="K5" s="36">
        <f t="shared" si="0"/>
        <v>0</v>
      </c>
      <c r="L5" s="36">
        <f t="shared" si="0"/>
        <v>0</v>
      </c>
      <c r="M5" s="36">
        <f t="shared" si="0"/>
        <v>0</v>
      </c>
      <c r="N5" s="36">
        <f t="shared" si="0"/>
        <v>0</v>
      </c>
      <c r="O5" s="36">
        <f t="shared" si="0"/>
        <v>0</v>
      </c>
      <c r="P5" s="36">
        <f t="shared" si="0"/>
        <v>0</v>
      </c>
      <c r="Q5" s="36">
        <f t="shared" si="0"/>
        <v>0</v>
      </c>
      <c r="R5" s="36">
        <f t="shared" si="0"/>
        <v>0</v>
      </c>
      <c r="S5" s="36">
        <f t="shared" si="0"/>
        <v>2275</v>
      </c>
      <c r="T5" s="36">
        <f t="shared" si="0"/>
        <v>2275</v>
      </c>
      <c r="U5" s="36">
        <f t="shared" si="0"/>
        <v>3275</v>
      </c>
      <c r="V5" s="36">
        <f t="shared" si="0"/>
        <v>3375</v>
      </c>
      <c r="W5" s="36">
        <f t="shared" si="0"/>
        <v>3375</v>
      </c>
      <c r="X5" s="36">
        <f t="shared" si="0"/>
        <v>0</v>
      </c>
      <c r="Y5" s="36">
        <f t="shared" si="0"/>
        <v>0</v>
      </c>
      <c r="Z5" s="36">
        <f t="shared" si="0"/>
        <v>3200</v>
      </c>
      <c r="AA5" s="36">
        <f t="shared" si="0"/>
        <v>1575</v>
      </c>
      <c r="AB5" s="36">
        <f t="shared" si="0"/>
        <v>3375</v>
      </c>
      <c r="AC5" s="36">
        <f t="shared" si="0"/>
        <v>3375</v>
      </c>
      <c r="AD5" s="36">
        <f t="shared" si="0"/>
        <v>3200</v>
      </c>
      <c r="AE5" s="36">
        <f t="shared" si="0"/>
        <v>0</v>
      </c>
      <c r="AF5" s="36">
        <f t="shared" si="0"/>
        <v>0</v>
      </c>
      <c r="AG5" s="36">
        <f t="shared" si="0"/>
        <v>3375</v>
      </c>
      <c r="AH5" s="36">
        <f t="shared" si="0"/>
        <v>3375</v>
      </c>
      <c r="AI5" s="36">
        <f t="shared" si="0"/>
        <v>3200</v>
      </c>
      <c r="AJ5" s="36">
        <f t="shared" si="0"/>
        <v>3200</v>
      </c>
      <c r="AK5" s="36">
        <f t="shared" si="0"/>
        <v>0</v>
      </c>
    </row>
    <row r="6" spans="1:39" s="2" customFormat="1" ht="25.5" x14ac:dyDescent="0.45">
      <c r="A6" s="49" t="s">
        <v>91</v>
      </c>
      <c r="B6" s="6"/>
      <c r="C6" s="6"/>
      <c r="D6" s="6"/>
      <c r="E6" s="34">
        <f t="shared" ref="E6:E7" si="1">SUM($G6:$AK6)</f>
        <v>56210</v>
      </c>
      <c r="F6" s="52" t="s">
        <v>2</v>
      </c>
      <c r="G6" s="55">
        <f>SUM(G$18:G$41)</f>
        <v>3275</v>
      </c>
      <c r="H6" s="37">
        <f t="shared" ref="H6:AK6" si="2">SUM(H$18:H$41)</f>
        <v>3375</v>
      </c>
      <c r="I6" s="37">
        <f t="shared" si="2"/>
        <v>0</v>
      </c>
      <c r="J6" s="37">
        <f t="shared" si="2"/>
        <v>0</v>
      </c>
      <c r="K6" s="37">
        <f t="shared" si="2"/>
        <v>0</v>
      </c>
      <c r="L6" s="37">
        <f t="shared" si="2"/>
        <v>0</v>
      </c>
      <c r="M6" s="37">
        <f t="shared" si="2"/>
        <v>0</v>
      </c>
      <c r="N6" s="37">
        <f t="shared" si="2"/>
        <v>0</v>
      </c>
      <c r="O6" s="37">
        <f t="shared" si="2"/>
        <v>0</v>
      </c>
      <c r="P6" s="37">
        <f t="shared" si="2"/>
        <v>0</v>
      </c>
      <c r="Q6" s="37">
        <f t="shared" si="2"/>
        <v>0</v>
      </c>
      <c r="R6" s="37">
        <f t="shared" si="2"/>
        <v>0</v>
      </c>
      <c r="S6" s="37">
        <f t="shared" si="2"/>
        <v>3565</v>
      </c>
      <c r="T6" s="37">
        <f t="shared" si="2"/>
        <v>3425</v>
      </c>
      <c r="U6" s="37">
        <f t="shared" si="2"/>
        <v>3475</v>
      </c>
      <c r="V6" s="37">
        <f t="shared" si="2"/>
        <v>3400</v>
      </c>
      <c r="W6" s="37">
        <f t="shared" si="2"/>
        <v>3560</v>
      </c>
      <c r="X6" s="37">
        <f t="shared" si="2"/>
        <v>0</v>
      </c>
      <c r="Y6" s="37">
        <f t="shared" si="2"/>
        <v>0</v>
      </c>
      <c r="Z6" s="37">
        <f t="shared" si="2"/>
        <v>3495</v>
      </c>
      <c r="AA6" s="37">
        <f t="shared" si="2"/>
        <v>3495</v>
      </c>
      <c r="AB6" s="37">
        <f t="shared" si="2"/>
        <v>3450</v>
      </c>
      <c r="AC6" s="37">
        <f t="shared" si="2"/>
        <v>3525</v>
      </c>
      <c r="AD6" s="37">
        <f t="shared" si="2"/>
        <v>3435</v>
      </c>
      <c r="AE6" s="37">
        <f t="shared" si="2"/>
        <v>0</v>
      </c>
      <c r="AF6" s="37">
        <f t="shared" si="2"/>
        <v>0</v>
      </c>
      <c r="AG6" s="37">
        <f t="shared" si="2"/>
        <v>3310</v>
      </c>
      <c r="AH6" s="37">
        <f t="shared" si="2"/>
        <v>3360</v>
      </c>
      <c r="AI6" s="37">
        <f t="shared" si="2"/>
        <v>3050</v>
      </c>
      <c r="AJ6" s="37">
        <f t="shared" si="2"/>
        <v>2675</v>
      </c>
      <c r="AK6" s="38">
        <f t="shared" si="2"/>
        <v>2340</v>
      </c>
    </row>
    <row r="7" spans="1:39" s="2" customFormat="1" ht="17.5" thickBot="1" x14ac:dyDescent="0.5">
      <c r="A7" s="3"/>
      <c r="B7" s="4"/>
      <c r="C7" s="4"/>
      <c r="D7" s="4"/>
      <c r="E7" s="35">
        <f t="shared" si="1"/>
        <v>56370</v>
      </c>
      <c r="F7" s="53" t="s">
        <v>3</v>
      </c>
      <c r="G7" s="56">
        <f>SUM(G$42:G$53)</f>
        <v>3840</v>
      </c>
      <c r="H7" s="39">
        <f t="shared" ref="H7:AK7" si="3">SUM(H$42:H$53)</f>
        <v>2940</v>
      </c>
      <c r="I7" s="39">
        <f t="shared" si="3"/>
        <v>0</v>
      </c>
      <c r="J7" s="39">
        <f t="shared" si="3"/>
        <v>0</v>
      </c>
      <c r="K7" s="39">
        <f t="shared" si="3"/>
        <v>0</v>
      </c>
      <c r="L7" s="39">
        <f t="shared" si="3"/>
        <v>0</v>
      </c>
      <c r="M7" s="39">
        <f t="shared" si="3"/>
        <v>0</v>
      </c>
      <c r="N7" s="39">
        <f t="shared" si="3"/>
        <v>0</v>
      </c>
      <c r="O7" s="39">
        <f t="shared" si="3"/>
        <v>0</v>
      </c>
      <c r="P7" s="39">
        <f t="shared" si="3"/>
        <v>0</v>
      </c>
      <c r="Q7" s="39">
        <f t="shared" si="3"/>
        <v>0</v>
      </c>
      <c r="R7" s="39">
        <f t="shared" si="3"/>
        <v>0</v>
      </c>
      <c r="S7" s="39">
        <f t="shared" si="3"/>
        <v>3510</v>
      </c>
      <c r="T7" s="39">
        <f t="shared" si="3"/>
        <v>3570</v>
      </c>
      <c r="U7" s="39">
        <f t="shared" si="3"/>
        <v>3630</v>
      </c>
      <c r="V7" s="39">
        <f t="shared" si="3"/>
        <v>3750</v>
      </c>
      <c r="W7" s="39">
        <f t="shared" si="3"/>
        <v>3810</v>
      </c>
      <c r="X7" s="39">
        <f t="shared" si="3"/>
        <v>0</v>
      </c>
      <c r="Y7" s="39">
        <f t="shared" si="3"/>
        <v>0</v>
      </c>
      <c r="Z7" s="39">
        <f t="shared" si="3"/>
        <v>3480</v>
      </c>
      <c r="AA7" s="39">
        <f t="shared" si="3"/>
        <v>3780</v>
      </c>
      <c r="AB7" s="39">
        <f t="shared" si="3"/>
        <v>3300</v>
      </c>
      <c r="AC7" s="39">
        <f t="shared" si="3"/>
        <v>3600</v>
      </c>
      <c r="AD7" s="39">
        <f t="shared" si="3"/>
        <v>3480</v>
      </c>
      <c r="AE7" s="39">
        <f t="shared" si="3"/>
        <v>0</v>
      </c>
      <c r="AF7" s="39">
        <f t="shared" si="3"/>
        <v>0</v>
      </c>
      <c r="AG7" s="39">
        <f t="shared" si="3"/>
        <v>3540</v>
      </c>
      <c r="AH7" s="39">
        <f t="shared" si="3"/>
        <v>3300</v>
      </c>
      <c r="AI7" s="39">
        <f t="shared" si="3"/>
        <v>3360</v>
      </c>
      <c r="AJ7" s="39">
        <f t="shared" si="3"/>
        <v>3480</v>
      </c>
      <c r="AK7" s="40">
        <f t="shared" si="3"/>
        <v>0</v>
      </c>
    </row>
    <row r="8" spans="1:39" s="5" customFormat="1" x14ac:dyDescent="0.45">
      <c r="A8" s="19" t="s">
        <v>4</v>
      </c>
      <c r="B8" s="19" t="s">
        <v>5</v>
      </c>
      <c r="C8" s="19" t="s">
        <v>6</v>
      </c>
      <c r="D8" s="19" t="s">
        <v>7</v>
      </c>
      <c r="E8" s="20" t="s">
        <v>8</v>
      </c>
      <c r="F8" s="19" t="s">
        <v>9</v>
      </c>
      <c r="G8" s="19" t="s">
        <v>11</v>
      </c>
      <c r="H8" s="19" t="s">
        <v>11</v>
      </c>
      <c r="I8" s="19" t="s">
        <v>15</v>
      </c>
      <c r="J8" s="21" t="s">
        <v>15</v>
      </c>
      <c r="K8" s="21" t="s">
        <v>15</v>
      </c>
      <c r="L8" s="21" t="s">
        <v>15</v>
      </c>
      <c r="M8" s="21" t="s">
        <v>15</v>
      </c>
      <c r="N8" s="21" t="s">
        <v>15</v>
      </c>
      <c r="O8" s="21" t="s">
        <v>15</v>
      </c>
      <c r="P8" s="21" t="s">
        <v>15</v>
      </c>
      <c r="Q8" s="21" t="s">
        <v>15</v>
      </c>
      <c r="R8" s="21" t="s">
        <v>15</v>
      </c>
      <c r="S8" s="19" t="s">
        <v>11</v>
      </c>
      <c r="T8" s="19" t="s">
        <v>11</v>
      </c>
      <c r="U8" s="19" t="s">
        <v>11</v>
      </c>
      <c r="V8" s="19" t="s">
        <v>11</v>
      </c>
      <c r="W8" s="19" t="s">
        <v>11</v>
      </c>
      <c r="X8" s="21" t="s">
        <v>15</v>
      </c>
      <c r="Y8" s="21" t="s">
        <v>15</v>
      </c>
      <c r="Z8" s="19" t="s">
        <v>16</v>
      </c>
      <c r="AA8" s="19" t="s">
        <v>11</v>
      </c>
      <c r="AB8" s="19" t="s">
        <v>11</v>
      </c>
      <c r="AC8" s="19" t="s">
        <v>11</v>
      </c>
      <c r="AD8" s="19" t="s">
        <v>11</v>
      </c>
      <c r="AE8" s="21" t="s">
        <v>15</v>
      </c>
      <c r="AF8" s="21" t="s">
        <v>15</v>
      </c>
      <c r="AG8" s="19" t="s">
        <v>11</v>
      </c>
      <c r="AH8" s="19" t="s">
        <v>11</v>
      </c>
      <c r="AI8" s="19" t="s">
        <v>11</v>
      </c>
      <c r="AJ8" s="19" t="s">
        <v>11</v>
      </c>
      <c r="AK8" s="19" t="s">
        <v>11</v>
      </c>
    </row>
    <row r="9" spans="1:39" s="5" customFormat="1" x14ac:dyDescent="0.45">
      <c r="A9" s="7"/>
      <c r="B9" s="7"/>
      <c r="C9" s="7"/>
      <c r="D9" s="7"/>
      <c r="E9" s="8"/>
      <c r="F9" s="7" t="s">
        <v>10</v>
      </c>
      <c r="G9" s="9">
        <v>45931</v>
      </c>
      <c r="H9" s="9">
        <v>45932</v>
      </c>
      <c r="I9" s="9">
        <v>45933</v>
      </c>
      <c r="J9" s="24">
        <v>45934</v>
      </c>
      <c r="K9" s="24">
        <v>45935</v>
      </c>
      <c r="L9" s="24">
        <v>45936</v>
      </c>
      <c r="M9" s="24">
        <v>45937</v>
      </c>
      <c r="N9" s="24">
        <v>45938</v>
      </c>
      <c r="O9" s="24">
        <v>45939</v>
      </c>
      <c r="P9" s="24">
        <v>45940</v>
      </c>
      <c r="Q9" s="24">
        <v>45941</v>
      </c>
      <c r="R9" s="24">
        <v>45942</v>
      </c>
      <c r="S9" s="9">
        <v>45943</v>
      </c>
      <c r="T9" s="9">
        <v>45944</v>
      </c>
      <c r="U9" s="9">
        <v>45945</v>
      </c>
      <c r="V9" s="9">
        <v>45946</v>
      </c>
      <c r="W9" s="9">
        <v>45947</v>
      </c>
      <c r="X9" s="24">
        <v>45948</v>
      </c>
      <c r="Y9" s="24">
        <v>45949</v>
      </c>
      <c r="Z9" s="9">
        <v>45950</v>
      </c>
      <c r="AA9" s="9">
        <v>45951</v>
      </c>
      <c r="AB9" s="9">
        <v>45952</v>
      </c>
      <c r="AC9" s="9">
        <v>45953</v>
      </c>
      <c r="AD9" s="9">
        <v>45954</v>
      </c>
      <c r="AE9" s="24">
        <v>45955</v>
      </c>
      <c r="AF9" s="24">
        <v>45956</v>
      </c>
      <c r="AG9" s="9">
        <v>45957</v>
      </c>
      <c r="AH9" s="9">
        <v>45958</v>
      </c>
      <c r="AI9" s="9">
        <v>45959</v>
      </c>
      <c r="AJ9" s="9">
        <v>45960</v>
      </c>
      <c r="AK9" s="9">
        <v>45961</v>
      </c>
    </row>
    <row r="10" spans="1:39" s="5" customFormat="1" x14ac:dyDescent="0.45">
      <c r="A10" s="10" t="s">
        <v>13</v>
      </c>
      <c r="B10" s="10" t="s">
        <v>94</v>
      </c>
      <c r="C10" s="10">
        <v>175</v>
      </c>
      <c r="D10" s="10" t="s">
        <v>98</v>
      </c>
      <c r="E10" s="57">
        <f>SUM(G10:AK10)</f>
        <v>18200</v>
      </c>
      <c r="F10" s="10" t="s">
        <v>1</v>
      </c>
      <c r="G10" s="25">
        <v>1575</v>
      </c>
      <c r="H10" s="25">
        <v>1400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>
        <v>1400</v>
      </c>
      <c r="T10" s="25">
        <v>1575</v>
      </c>
      <c r="U10" s="25"/>
      <c r="V10" s="25">
        <v>1575</v>
      </c>
      <c r="W10" s="25">
        <v>1575</v>
      </c>
      <c r="X10" s="25"/>
      <c r="Y10" s="25"/>
      <c r="Z10" s="25"/>
      <c r="AA10" s="25"/>
      <c r="AB10" s="25">
        <v>1575</v>
      </c>
      <c r="AC10" s="25">
        <v>1575</v>
      </c>
      <c r="AD10" s="25"/>
      <c r="AE10" s="25"/>
      <c r="AF10" s="25"/>
      <c r="AG10" s="25">
        <v>1575</v>
      </c>
      <c r="AH10" s="25">
        <v>1575</v>
      </c>
      <c r="AI10" s="25">
        <v>1400</v>
      </c>
      <c r="AJ10" s="25">
        <v>1400</v>
      </c>
      <c r="AK10" s="25"/>
    </row>
    <row r="11" spans="1:39" s="5" customFormat="1" x14ac:dyDescent="0.45">
      <c r="A11" s="10" t="s">
        <v>13</v>
      </c>
      <c r="B11" s="10" t="s">
        <v>95</v>
      </c>
      <c r="C11" s="10">
        <v>175</v>
      </c>
      <c r="D11" s="10" t="s">
        <v>99</v>
      </c>
      <c r="E11" s="57">
        <f t="shared" ref="E11:E12" si="4">SUM(G11:AK11)</f>
        <v>0</v>
      </c>
      <c r="F11" s="10" t="s">
        <v>97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</row>
    <row r="12" spans="1:39" s="5" customFormat="1" x14ac:dyDescent="0.45">
      <c r="A12" s="10" t="s">
        <v>13</v>
      </c>
      <c r="B12" s="10" t="s">
        <v>96</v>
      </c>
      <c r="C12" s="10">
        <v>175</v>
      </c>
      <c r="D12" s="10" t="s">
        <v>100</v>
      </c>
      <c r="E12" s="57">
        <f t="shared" si="4"/>
        <v>3150</v>
      </c>
      <c r="F12" s="10" t="s">
        <v>1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>
        <v>875</v>
      </c>
      <c r="T12" s="25">
        <v>700</v>
      </c>
      <c r="U12" s="25"/>
      <c r="V12" s="25"/>
      <c r="W12" s="25"/>
      <c r="X12" s="25"/>
      <c r="Y12" s="25"/>
      <c r="Z12" s="25"/>
      <c r="AA12" s="25">
        <v>1575</v>
      </c>
      <c r="AB12" s="25"/>
      <c r="AC12" s="25"/>
      <c r="AD12" s="25"/>
      <c r="AE12" s="25"/>
      <c r="AF12" s="25"/>
      <c r="AG12" s="25"/>
      <c r="AH12" s="25"/>
      <c r="AI12" s="25"/>
      <c r="AJ12" s="25"/>
      <c r="AK12" s="25"/>
    </row>
    <row r="13" spans="1:39" x14ac:dyDescent="0.45">
      <c r="A13" s="10" t="s">
        <v>12</v>
      </c>
      <c r="B13" s="10" t="s">
        <v>17</v>
      </c>
      <c r="C13" s="10">
        <v>200</v>
      </c>
      <c r="D13" s="11" t="s">
        <v>18</v>
      </c>
      <c r="E13" s="30">
        <f>SUM(G13:AK13)</f>
        <v>21800</v>
      </c>
      <c r="F13" s="10" t="s">
        <v>1</v>
      </c>
      <c r="G13" s="25"/>
      <c r="H13" s="25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5"/>
      <c r="T13" s="25"/>
      <c r="U13" s="25">
        <v>1000</v>
      </c>
      <c r="V13" s="25">
        <v>1800</v>
      </c>
      <c r="W13" s="25">
        <v>1800</v>
      </c>
      <c r="X13" s="25"/>
      <c r="Y13" s="25"/>
      <c r="Z13" s="25">
        <v>3200</v>
      </c>
      <c r="AA13" s="25"/>
      <c r="AB13" s="25">
        <v>1800</v>
      </c>
      <c r="AC13" s="25">
        <v>1800</v>
      </c>
      <c r="AD13" s="25">
        <v>3200</v>
      </c>
      <c r="AE13" s="25"/>
      <c r="AF13" s="25"/>
      <c r="AG13" s="25">
        <v>1800</v>
      </c>
      <c r="AH13" s="25">
        <v>1800</v>
      </c>
      <c r="AI13" s="25">
        <v>1800</v>
      </c>
      <c r="AJ13" s="25">
        <v>1800</v>
      </c>
      <c r="AK13" s="25"/>
      <c r="AL13" s="1"/>
      <c r="AM13" s="1"/>
    </row>
    <row r="14" spans="1:39" x14ac:dyDescent="0.45">
      <c r="A14" s="10" t="s">
        <v>12</v>
      </c>
      <c r="B14" s="10" t="s">
        <v>19</v>
      </c>
      <c r="C14" s="10">
        <v>200</v>
      </c>
      <c r="D14" s="11" t="s">
        <v>20</v>
      </c>
      <c r="E14" s="30">
        <f t="shared" ref="E14:E53" si="5">SUM(G14:AK14)</f>
        <v>0</v>
      </c>
      <c r="F14" s="10" t="s">
        <v>1</v>
      </c>
      <c r="G14" s="25"/>
      <c r="H14" s="25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1"/>
      <c r="AM14" s="1"/>
    </row>
    <row r="15" spans="1:39" x14ac:dyDescent="0.45">
      <c r="A15" s="10" t="s">
        <v>13</v>
      </c>
      <c r="B15" s="10" t="s">
        <v>21</v>
      </c>
      <c r="C15" s="10">
        <v>175</v>
      </c>
      <c r="D15" s="11" t="s">
        <v>92</v>
      </c>
      <c r="E15" s="30">
        <f t="shared" si="5"/>
        <v>0</v>
      </c>
      <c r="F15" s="10" t="s">
        <v>1</v>
      </c>
      <c r="G15" s="25"/>
      <c r="H15" s="25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1"/>
      <c r="AM15" s="1"/>
    </row>
    <row r="16" spans="1:39" x14ac:dyDescent="0.45">
      <c r="A16" s="10" t="s">
        <v>13</v>
      </c>
      <c r="B16" s="10" t="s">
        <v>21</v>
      </c>
      <c r="C16" s="10">
        <v>175</v>
      </c>
      <c r="D16" s="11" t="s">
        <v>93</v>
      </c>
      <c r="E16" s="30">
        <f t="shared" si="5"/>
        <v>0</v>
      </c>
      <c r="F16" s="10" t="s">
        <v>1</v>
      </c>
      <c r="G16" s="25"/>
      <c r="H16" s="25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1"/>
      <c r="AM16" s="1"/>
    </row>
    <row r="17" spans="1:39" x14ac:dyDescent="0.45">
      <c r="A17" s="10" t="s">
        <v>13</v>
      </c>
      <c r="B17" s="10" t="s">
        <v>22</v>
      </c>
      <c r="C17" s="10">
        <v>175</v>
      </c>
      <c r="D17" s="11" t="s">
        <v>71</v>
      </c>
      <c r="E17" s="30">
        <f t="shared" si="5"/>
        <v>5950</v>
      </c>
      <c r="F17" s="10" t="s">
        <v>1</v>
      </c>
      <c r="G17" s="25">
        <v>1750</v>
      </c>
      <c r="H17" s="25">
        <v>1925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>
        <v>2275</v>
      </c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1"/>
      <c r="AM17" s="1"/>
    </row>
    <row r="18" spans="1:39" x14ac:dyDescent="0.45">
      <c r="A18" s="12" t="s">
        <v>13</v>
      </c>
      <c r="B18" s="12" t="s">
        <v>22</v>
      </c>
      <c r="C18" s="12">
        <v>175</v>
      </c>
      <c r="D18" s="13" t="s">
        <v>71</v>
      </c>
      <c r="E18" s="31">
        <f t="shared" si="5"/>
        <v>4725</v>
      </c>
      <c r="F18" s="12" t="s">
        <v>2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>
        <v>875</v>
      </c>
      <c r="X18" s="27"/>
      <c r="Y18" s="27"/>
      <c r="Z18" s="27"/>
      <c r="AA18" s="27">
        <v>1400</v>
      </c>
      <c r="AB18" s="27">
        <v>1050</v>
      </c>
      <c r="AC18" s="27">
        <v>525</v>
      </c>
      <c r="AD18" s="27">
        <v>875</v>
      </c>
      <c r="AE18" s="27"/>
      <c r="AF18" s="27"/>
      <c r="AG18" s="27"/>
      <c r="AH18" s="27"/>
      <c r="AI18" s="27"/>
      <c r="AJ18" s="27"/>
      <c r="AK18" s="27"/>
      <c r="AL18" s="1"/>
      <c r="AM18" s="1"/>
    </row>
    <row r="19" spans="1:39" x14ac:dyDescent="0.45">
      <c r="A19" s="12" t="s">
        <v>14</v>
      </c>
      <c r="B19" s="12" t="s">
        <v>23</v>
      </c>
      <c r="C19" s="12">
        <v>125</v>
      </c>
      <c r="D19" s="13" t="s">
        <v>72</v>
      </c>
      <c r="E19" s="31">
        <f t="shared" si="5"/>
        <v>0</v>
      </c>
      <c r="F19" s="12" t="s">
        <v>2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1"/>
      <c r="AM19" s="1"/>
    </row>
    <row r="20" spans="1:39" x14ac:dyDescent="0.45">
      <c r="A20" s="12" t="s">
        <v>14</v>
      </c>
      <c r="B20" s="12" t="s">
        <v>24</v>
      </c>
      <c r="C20" s="12">
        <v>125</v>
      </c>
      <c r="D20" s="13" t="s">
        <v>73</v>
      </c>
      <c r="E20" s="31">
        <f t="shared" si="5"/>
        <v>2500</v>
      </c>
      <c r="F20" s="12" t="s">
        <v>2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>
        <v>875</v>
      </c>
      <c r="V20" s="27">
        <v>1125</v>
      </c>
      <c r="W20" s="27"/>
      <c r="X20" s="27"/>
      <c r="Y20" s="27"/>
      <c r="Z20" s="27"/>
      <c r="AA20" s="27">
        <v>500</v>
      </c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1"/>
      <c r="AM20" s="1"/>
    </row>
    <row r="21" spans="1:39" x14ac:dyDescent="0.45">
      <c r="A21" s="12" t="s">
        <v>14</v>
      </c>
      <c r="B21" s="12" t="s">
        <v>24</v>
      </c>
      <c r="C21" s="12">
        <v>125</v>
      </c>
      <c r="D21" s="13" t="s">
        <v>74</v>
      </c>
      <c r="E21" s="31">
        <f t="shared" si="5"/>
        <v>5000</v>
      </c>
      <c r="F21" s="12" t="s">
        <v>2</v>
      </c>
      <c r="G21" s="27">
        <v>1000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>
        <v>1125</v>
      </c>
      <c r="U21" s="27"/>
      <c r="V21" s="27">
        <v>1375</v>
      </c>
      <c r="W21" s="27"/>
      <c r="X21" s="27"/>
      <c r="Y21" s="27"/>
      <c r="Z21" s="27">
        <v>250</v>
      </c>
      <c r="AA21" s="27"/>
      <c r="AB21" s="27"/>
      <c r="AC21" s="27">
        <v>1250</v>
      </c>
      <c r="AD21" s="27"/>
      <c r="AE21" s="27"/>
      <c r="AF21" s="27"/>
      <c r="AG21" s="27"/>
      <c r="AH21" s="27"/>
      <c r="AI21" s="27"/>
      <c r="AJ21" s="27"/>
      <c r="AK21" s="27"/>
      <c r="AL21" s="1"/>
      <c r="AM21" s="1"/>
    </row>
    <row r="22" spans="1:39" x14ac:dyDescent="0.45">
      <c r="A22" s="12" t="s">
        <v>13</v>
      </c>
      <c r="B22" s="12" t="s">
        <v>25</v>
      </c>
      <c r="C22" s="12">
        <v>125</v>
      </c>
      <c r="D22" s="13" t="s">
        <v>75</v>
      </c>
      <c r="E22" s="31">
        <f t="shared" si="5"/>
        <v>0</v>
      </c>
      <c r="F22" s="12" t="s">
        <v>2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1"/>
      <c r="AM22" s="1"/>
    </row>
    <row r="23" spans="1:39" x14ac:dyDescent="0.45">
      <c r="A23" s="12" t="s">
        <v>13</v>
      </c>
      <c r="B23" s="12" t="s">
        <v>26</v>
      </c>
      <c r="C23" s="12">
        <v>125</v>
      </c>
      <c r="D23" s="13" t="s">
        <v>76</v>
      </c>
      <c r="E23" s="31">
        <f t="shared" si="5"/>
        <v>0</v>
      </c>
      <c r="F23" s="12" t="s">
        <v>2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1"/>
      <c r="AM23" s="1"/>
    </row>
    <row r="24" spans="1:39" x14ac:dyDescent="0.45">
      <c r="A24" s="12" t="s">
        <v>13</v>
      </c>
      <c r="B24" s="12" t="s">
        <v>27</v>
      </c>
      <c r="C24" s="12">
        <v>175</v>
      </c>
      <c r="D24" s="13" t="s">
        <v>54</v>
      </c>
      <c r="E24" s="31">
        <f t="shared" si="5"/>
        <v>0</v>
      </c>
      <c r="F24" s="12" t="s">
        <v>2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1"/>
      <c r="AM24" s="1"/>
    </row>
    <row r="25" spans="1:39" x14ac:dyDescent="0.45">
      <c r="A25" s="12" t="s">
        <v>13</v>
      </c>
      <c r="B25" s="12" t="s">
        <v>28</v>
      </c>
      <c r="C25" s="12">
        <v>175</v>
      </c>
      <c r="D25" s="13" t="s">
        <v>55</v>
      </c>
      <c r="E25" s="31">
        <f t="shared" si="5"/>
        <v>4725</v>
      </c>
      <c r="F25" s="12" t="s">
        <v>2</v>
      </c>
      <c r="G25" s="28">
        <v>700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>
        <v>1225</v>
      </c>
      <c r="T25" s="28">
        <v>1225</v>
      </c>
      <c r="U25" s="28"/>
      <c r="V25" s="28"/>
      <c r="W25" s="28"/>
      <c r="X25" s="28"/>
      <c r="Y25" s="28"/>
      <c r="Z25" s="28"/>
      <c r="AA25" s="28"/>
      <c r="AB25" s="28"/>
      <c r="AC25" s="28">
        <v>175</v>
      </c>
      <c r="AD25" s="28"/>
      <c r="AE25" s="28"/>
      <c r="AF25" s="28"/>
      <c r="AG25" s="28">
        <v>1050</v>
      </c>
      <c r="AH25" s="28"/>
      <c r="AI25" s="28">
        <v>350</v>
      </c>
      <c r="AJ25" s="28"/>
      <c r="AK25" s="28"/>
      <c r="AL25" s="1"/>
      <c r="AM25" s="1"/>
    </row>
    <row r="26" spans="1:39" x14ac:dyDescent="0.45">
      <c r="A26" s="12" t="s">
        <v>13</v>
      </c>
      <c r="B26" s="12" t="s">
        <v>29</v>
      </c>
      <c r="C26" s="12">
        <v>175</v>
      </c>
      <c r="D26" s="13" t="s">
        <v>56</v>
      </c>
      <c r="E26" s="31">
        <f t="shared" si="5"/>
        <v>4725</v>
      </c>
      <c r="F26" s="12" t="s">
        <v>2</v>
      </c>
      <c r="G26" s="28">
        <v>700</v>
      </c>
      <c r="H26" s="28">
        <v>1575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>
        <v>875</v>
      </c>
      <c r="AB26" s="28"/>
      <c r="AC26" s="28">
        <v>1575</v>
      </c>
      <c r="AD26" s="28"/>
      <c r="AE26" s="28"/>
      <c r="AF26" s="28"/>
      <c r="AG26" s="28"/>
      <c r="AH26" s="28"/>
      <c r="AI26" s="28"/>
      <c r="AJ26" s="28"/>
      <c r="AK26" s="28"/>
      <c r="AL26" s="1"/>
      <c r="AM26" s="1"/>
    </row>
    <row r="27" spans="1:39" x14ac:dyDescent="0.45">
      <c r="A27" s="12" t="s">
        <v>13</v>
      </c>
      <c r="B27" s="12" t="s">
        <v>30</v>
      </c>
      <c r="C27" s="12">
        <v>175</v>
      </c>
      <c r="D27" s="13" t="s">
        <v>77</v>
      </c>
      <c r="E27" s="31">
        <f t="shared" si="5"/>
        <v>0</v>
      </c>
      <c r="F27" s="12" t="s">
        <v>2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1"/>
      <c r="AM27" s="1"/>
    </row>
    <row r="28" spans="1:39" x14ac:dyDescent="0.45">
      <c r="A28" s="12" t="s">
        <v>13</v>
      </c>
      <c r="B28" s="12" t="s">
        <v>31</v>
      </c>
      <c r="C28" s="14">
        <v>180</v>
      </c>
      <c r="D28" s="13" t="s">
        <v>78</v>
      </c>
      <c r="E28" s="31">
        <f t="shared" si="5"/>
        <v>3600</v>
      </c>
      <c r="F28" s="12" t="s">
        <v>2</v>
      </c>
      <c r="G28" s="28"/>
      <c r="H28" s="28">
        <v>900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>
        <v>1075</v>
      </c>
      <c r="U28" s="28"/>
      <c r="V28" s="28">
        <v>900</v>
      </c>
      <c r="W28" s="28"/>
      <c r="X28" s="28"/>
      <c r="Y28" s="28"/>
      <c r="Z28" s="28">
        <v>725</v>
      </c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1"/>
      <c r="AM28" s="1"/>
    </row>
    <row r="29" spans="1:39" x14ac:dyDescent="0.45">
      <c r="A29" s="12" t="s">
        <v>13</v>
      </c>
      <c r="B29" s="12" t="s">
        <v>32</v>
      </c>
      <c r="C29" s="12">
        <v>180</v>
      </c>
      <c r="D29" s="13" t="s">
        <v>57</v>
      </c>
      <c r="E29" s="31">
        <f t="shared" si="5"/>
        <v>0</v>
      </c>
      <c r="F29" s="12" t="s">
        <v>2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1"/>
      <c r="AM29" s="1"/>
    </row>
    <row r="30" spans="1:39" x14ac:dyDescent="0.45">
      <c r="A30" s="15" t="s">
        <v>12</v>
      </c>
      <c r="B30" s="15" t="s">
        <v>33</v>
      </c>
      <c r="C30" s="15">
        <v>200</v>
      </c>
      <c r="D30" s="16" t="s">
        <v>58</v>
      </c>
      <c r="E30" s="31">
        <f t="shared" si="5"/>
        <v>6000</v>
      </c>
      <c r="F30" s="12" t="s">
        <v>2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>
        <v>200</v>
      </c>
      <c r="T30" s="28"/>
      <c r="U30" s="28">
        <v>800</v>
      </c>
      <c r="V30" s="28"/>
      <c r="W30" s="28"/>
      <c r="X30" s="28"/>
      <c r="Y30" s="28"/>
      <c r="Z30" s="28"/>
      <c r="AA30" s="28"/>
      <c r="AB30" s="28">
        <v>600</v>
      </c>
      <c r="AC30" s="28"/>
      <c r="AD30" s="28">
        <v>400</v>
      </c>
      <c r="AE30" s="28"/>
      <c r="AF30" s="28"/>
      <c r="AG30" s="28">
        <v>1000</v>
      </c>
      <c r="AH30" s="28">
        <v>1200</v>
      </c>
      <c r="AI30" s="28"/>
      <c r="AJ30" s="28">
        <v>1800</v>
      </c>
      <c r="AK30" s="28"/>
      <c r="AL30" s="1"/>
      <c r="AM30" s="1"/>
    </row>
    <row r="31" spans="1:39" x14ac:dyDescent="0.45">
      <c r="A31" s="15" t="s">
        <v>12</v>
      </c>
      <c r="B31" s="15" t="s">
        <v>34</v>
      </c>
      <c r="C31" s="15">
        <v>180</v>
      </c>
      <c r="D31" s="16" t="s">
        <v>59</v>
      </c>
      <c r="E31" s="31">
        <f t="shared" si="5"/>
        <v>1260</v>
      </c>
      <c r="F31" s="12" t="s">
        <v>2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>
        <v>360</v>
      </c>
      <c r="X31" s="28"/>
      <c r="Y31" s="28"/>
      <c r="Z31" s="28">
        <v>360</v>
      </c>
      <c r="AA31" s="28">
        <v>180</v>
      </c>
      <c r="AB31" s="28"/>
      <c r="AC31" s="28"/>
      <c r="AD31" s="28"/>
      <c r="AE31" s="28"/>
      <c r="AF31" s="28"/>
      <c r="AG31" s="28"/>
      <c r="AH31" s="28"/>
      <c r="AI31" s="28">
        <v>360</v>
      </c>
      <c r="AJ31" s="28"/>
      <c r="AK31" s="28"/>
      <c r="AL31" s="1"/>
      <c r="AM31" s="1"/>
    </row>
    <row r="32" spans="1:39" x14ac:dyDescent="0.45">
      <c r="A32" s="15" t="s">
        <v>12</v>
      </c>
      <c r="B32" s="15" t="s">
        <v>35</v>
      </c>
      <c r="C32" s="15">
        <v>180</v>
      </c>
      <c r="D32" s="16" t="s">
        <v>60</v>
      </c>
      <c r="E32" s="31">
        <f t="shared" si="5"/>
        <v>2340</v>
      </c>
      <c r="F32" s="12" t="s">
        <v>2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>
        <v>360</v>
      </c>
      <c r="T32" s="28"/>
      <c r="U32" s="28">
        <v>360</v>
      </c>
      <c r="V32" s="28"/>
      <c r="W32" s="28">
        <v>360</v>
      </c>
      <c r="X32" s="28"/>
      <c r="Y32" s="28"/>
      <c r="Z32" s="28">
        <v>360</v>
      </c>
      <c r="AA32" s="28"/>
      <c r="AB32" s="28"/>
      <c r="AC32" s="28"/>
      <c r="AD32" s="28">
        <v>360</v>
      </c>
      <c r="AE32" s="28"/>
      <c r="AF32" s="28"/>
      <c r="AG32" s="28"/>
      <c r="AH32" s="28"/>
      <c r="AI32" s="28">
        <v>540</v>
      </c>
      <c r="AJ32" s="28"/>
      <c r="AK32" s="28"/>
      <c r="AL32" s="1"/>
      <c r="AM32" s="1"/>
    </row>
    <row r="33" spans="1:39" x14ac:dyDescent="0.45">
      <c r="A33" s="15" t="s">
        <v>12</v>
      </c>
      <c r="B33" s="15" t="s">
        <v>36</v>
      </c>
      <c r="C33" s="15">
        <v>180</v>
      </c>
      <c r="D33" s="16" t="s">
        <v>61</v>
      </c>
      <c r="E33" s="31">
        <f t="shared" si="5"/>
        <v>2340</v>
      </c>
      <c r="F33" s="12" t="s">
        <v>2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>
        <v>360</v>
      </c>
      <c r="T33" s="28"/>
      <c r="U33" s="28">
        <v>540</v>
      </c>
      <c r="V33" s="28"/>
      <c r="W33" s="28">
        <v>180</v>
      </c>
      <c r="X33" s="28"/>
      <c r="Y33" s="28"/>
      <c r="Z33" s="28"/>
      <c r="AA33" s="28"/>
      <c r="AB33" s="28">
        <v>540</v>
      </c>
      <c r="AC33" s="28"/>
      <c r="AD33" s="28"/>
      <c r="AE33" s="28"/>
      <c r="AF33" s="28"/>
      <c r="AG33" s="28"/>
      <c r="AH33" s="28">
        <v>360</v>
      </c>
      <c r="AI33" s="28">
        <v>360</v>
      </c>
      <c r="AJ33" s="28"/>
      <c r="AK33" s="28"/>
      <c r="AL33" s="1"/>
      <c r="AM33" s="1"/>
    </row>
    <row r="34" spans="1:39" x14ac:dyDescent="0.45">
      <c r="A34" s="15" t="s">
        <v>12</v>
      </c>
      <c r="B34" s="15" t="s">
        <v>37</v>
      </c>
      <c r="C34" s="15">
        <v>180</v>
      </c>
      <c r="D34" s="16" t="s">
        <v>62</v>
      </c>
      <c r="E34" s="31">
        <f t="shared" si="5"/>
        <v>1440</v>
      </c>
      <c r="F34" s="12" t="s">
        <v>2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>
        <v>360</v>
      </c>
      <c r="V34" s="28"/>
      <c r="W34" s="28"/>
      <c r="X34" s="28"/>
      <c r="Y34" s="28"/>
      <c r="Z34" s="28"/>
      <c r="AA34" s="28">
        <v>540</v>
      </c>
      <c r="AB34" s="28"/>
      <c r="AC34" s="28"/>
      <c r="AD34" s="28">
        <v>540</v>
      </c>
      <c r="AE34" s="28"/>
      <c r="AF34" s="28"/>
      <c r="AG34" s="28"/>
      <c r="AH34" s="28"/>
      <c r="AI34" s="28"/>
      <c r="AJ34" s="28"/>
      <c r="AK34" s="28"/>
      <c r="AL34" s="1"/>
      <c r="AM34" s="1"/>
    </row>
    <row r="35" spans="1:39" x14ac:dyDescent="0.45">
      <c r="A35" s="15" t="s">
        <v>12</v>
      </c>
      <c r="B35" s="15" t="s">
        <v>38</v>
      </c>
      <c r="C35" s="15">
        <v>175</v>
      </c>
      <c r="D35" s="16" t="s">
        <v>79</v>
      </c>
      <c r="E35" s="31">
        <f t="shared" si="5"/>
        <v>2975</v>
      </c>
      <c r="F35" s="12" t="s">
        <v>2</v>
      </c>
      <c r="G35" s="28">
        <v>875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>
        <v>700</v>
      </c>
      <c r="T35" s="28"/>
      <c r="U35" s="28"/>
      <c r="V35" s="28"/>
      <c r="W35" s="28">
        <v>525</v>
      </c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>
        <v>875</v>
      </c>
      <c r="AK35" s="28"/>
      <c r="AL35" s="1"/>
      <c r="AM35" s="1"/>
    </row>
    <row r="36" spans="1:39" x14ac:dyDescent="0.45">
      <c r="A36" s="15" t="s">
        <v>12</v>
      </c>
      <c r="B36" s="15" t="s">
        <v>39</v>
      </c>
      <c r="C36" s="15">
        <v>180</v>
      </c>
      <c r="D36" s="16" t="s">
        <v>80</v>
      </c>
      <c r="E36" s="31">
        <f t="shared" si="5"/>
        <v>1980</v>
      </c>
      <c r="F36" s="12" t="s">
        <v>2</v>
      </c>
      <c r="G36" s="28"/>
      <c r="H36" s="28">
        <v>540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>
        <v>360</v>
      </c>
      <c r="T36" s="28"/>
      <c r="U36" s="28"/>
      <c r="V36" s="28"/>
      <c r="W36" s="28"/>
      <c r="X36" s="28"/>
      <c r="Y36" s="28"/>
      <c r="Z36" s="28">
        <v>540</v>
      </c>
      <c r="AA36" s="28"/>
      <c r="AB36" s="28"/>
      <c r="AC36" s="28"/>
      <c r="AD36" s="28"/>
      <c r="AE36" s="28"/>
      <c r="AF36" s="28"/>
      <c r="AG36" s="28"/>
      <c r="AH36" s="28">
        <v>540</v>
      </c>
      <c r="AI36" s="28"/>
      <c r="AJ36" s="28"/>
      <c r="AK36" s="28"/>
      <c r="AL36" s="1"/>
      <c r="AM36" s="1"/>
    </row>
    <row r="37" spans="1:39" x14ac:dyDescent="0.45">
      <c r="A37" s="15" t="s">
        <v>12</v>
      </c>
      <c r="B37" s="15" t="s">
        <v>40</v>
      </c>
      <c r="C37" s="15">
        <v>180</v>
      </c>
      <c r="D37" s="16" t="s">
        <v>81</v>
      </c>
      <c r="E37" s="31">
        <f t="shared" si="5"/>
        <v>360</v>
      </c>
      <c r="F37" s="12" t="s">
        <v>2</v>
      </c>
      <c r="G37" s="28"/>
      <c r="H37" s="28">
        <v>360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1"/>
      <c r="AM37" s="1"/>
    </row>
    <row r="38" spans="1:39" x14ac:dyDescent="0.45">
      <c r="A38" s="15" t="s">
        <v>12</v>
      </c>
      <c r="B38" s="15" t="s">
        <v>41</v>
      </c>
      <c r="C38" s="15">
        <v>180</v>
      </c>
      <c r="D38" s="16" t="s">
        <v>63</v>
      </c>
      <c r="E38" s="31">
        <f t="shared" si="5"/>
        <v>12240</v>
      </c>
      <c r="F38" s="12" t="s">
        <v>2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>
        <v>360</v>
      </c>
      <c r="T38" s="28"/>
      <c r="U38" s="28">
        <v>540</v>
      </c>
      <c r="V38" s="28"/>
      <c r="W38" s="28">
        <v>1260</v>
      </c>
      <c r="X38" s="28"/>
      <c r="Y38" s="28"/>
      <c r="Z38" s="28">
        <v>1260</v>
      </c>
      <c r="AA38" s="28"/>
      <c r="AB38" s="28">
        <v>1260</v>
      </c>
      <c r="AC38" s="28"/>
      <c r="AD38" s="28">
        <v>1260</v>
      </c>
      <c r="AE38" s="28"/>
      <c r="AF38" s="28"/>
      <c r="AG38" s="28">
        <v>1260</v>
      </c>
      <c r="AH38" s="28">
        <v>1260</v>
      </c>
      <c r="AI38" s="28">
        <v>1440</v>
      </c>
      <c r="AJ38" s="28"/>
      <c r="AK38" s="28">
        <v>2340</v>
      </c>
      <c r="AL38" s="1"/>
      <c r="AM38" s="1"/>
    </row>
    <row r="39" spans="1:39" x14ac:dyDescent="0.45">
      <c r="A39" s="15" t="s">
        <v>12</v>
      </c>
      <c r="B39" s="15" t="s">
        <v>42</v>
      </c>
      <c r="C39" s="15">
        <v>180</v>
      </c>
      <c r="D39" s="16" t="s">
        <v>64</v>
      </c>
      <c r="E39" s="31">
        <f t="shared" si="5"/>
        <v>0</v>
      </c>
      <c r="F39" s="12" t="s">
        <v>2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1"/>
      <c r="AM39" s="1"/>
    </row>
    <row r="40" spans="1:39" x14ac:dyDescent="0.45">
      <c r="A40" s="12" t="s">
        <v>13</v>
      </c>
      <c r="B40" s="12" t="s">
        <v>43</v>
      </c>
      <c r="C40" s="12">
        <v>180</v>
      </c>
      <c r="D40" s="13" t="s">
        <v>65</v>
      </c>
      <c r="E40" s="31">
        <f t="shared" si="5"/>
        <v>0</v>
      </c>
      <c r="F40" s="12" t="s">
        <v>2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1"/>
      <c r="AM40" s="1"/>
    </row>
    <row r="41" spans="1:39" x14ac:dyDescent="0.45">
      <c r="A41" s="12" t="s">
        <v>13</v>
      </c>
      <c r="B41" s="12" t="s">
        <v>44</v>
      </c>
      <c r="C41" s="12">
        <v>180</v>
      </c>
      <c r="D41" s="13" t="s">
        <v>66</v>
      </c>
      <c r="E41" s="31">
        <f t="shared" si="5"/>
        <v>0</v>
      </c>
      <c r="F41" s="12" t="s">
        <v>2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1"/>
      <c r="AM41" s="1"/>
    </row>
    <row r="42" spans="1:39" x14ac:dyDescent="0.45">
      <c r="A42" s="17" t="s">
        <v>13</v>
      </c>
      <c r="B42" s="17" t="s">
        <v>22</v>
      </c>
      <c r="C42" s="17">
        <v>175</v>
      </c>
      <c r="D42" s="18" t="s">
        <v>71</v>
      </c>
      <c r="E42" s="32">
        <f t="shared" si="5"/>
        <v>0</v>
      </c>
      <c r="F42" s="17" t="s">
        <v>3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1"/>
      <c r="AM42" s="1"/>
    </row>
    <row r="43" spans="1:39" x14ac:dyDescent="0.45">
      <c r="A43" s="17" t="s">
        <v>13</v>
      </c>
      <c r="B43" s="17" t="s">
        <v>45</v>
      </c>
      <c r="C43" s="17">
        <v>180</v>
      </c>
      <c r="D43" s="18" t="s">
        <v>82</v>
      </c>
      <c r="E43" s="32">
        <f t="shared" si="5"/>
        <v>3240</v>
      </c>
      <c r="F43" s="17" t="s">
        <v>3</v>
      </c>
      <c r="G43" s="29">
        <v>360</v>
      </c>
      <c r="H43" s="29">
        <v>180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>
        <v>180</v>
      </c>
      <c r="U43" s="29"/>
      <c r="V43" s="29">
        <v>360</v>
      </c>
      <c r="W43" s="29">
        <v>180</v>
      </c>
      <c r="X43" s="29"/>
      <c r="Y43" s="29"/>
      <c r="Z43" s="29">
        <v>360</v>
      </c>
      <c r="AA43" s="29"/>
      <c r="AB43" s="29">
        <v>360</v>
      </c>
      <c r="AC43" s="29"/>
      <c r="AD43" s="29">
        <v>360</v>
      </c>
      <c r="AE43" s="29"/>
      <c r="AF43" s="29"/>
      <c r="AG43" s="29">
        <v>360</v>
      </c>
      <c r="AH43" s="29"/>
      <c r="AI43" s="29">
        <v>360</v>
      </c>
      <c r="AJ43" s="29">
        <v>180</v>
      </c>
      <c r="AK43" s="29"/>
      <c r="AL43" s="1"/>
      <c r="AM43" s="1"/>
    </row>
    <row r="44" spans="1:39" x14ac:dyDescent="0.45">
      <c r="A44" s="17" t="s">
        <v>13</v>
      </c>
      <c r="B44" s="17" t="s">
        <v>83</v>
      </c>
      <c r="C44" s="17">
        <v>150</v>
      </c>
      <c r="D44" s="18" t="s">
        <v>90</v>
      </c>
      <c r="E44" s="32">
        <f t="shared" si="5"/>
        <v>4800</v>
      </c>
      <c r="F44" s="17" t="s">
        <v>3</v>
      </c>
      <c r="G44" s="29">
        <v>300</v>
      </c>
      <c r="H44" s="29">
        <v>300</v>
      </c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>
        <v>300</v>
      </c>
      <c r="T44" s="29">
        <v>300</v>
      </c>
      <c r="U44" s="29">
        <v>300</v>
      </c>
      <c r="V44" s="29">
        <v>300</v>
      </c>
      <c r="W44" s="29">
        <v>300</v>
      </c>
      <c r="X44" s="29"/>
      <c r="Y44" s="29"/>
      <c r="Z44" s="29">
        <v>300</v>
      </c>
      <c r="AA44" s="29">
        <v>300</v>
      </c>
      <c r="AB44" s="29">
        <v>300</v>
      </c>
      <c r="AC44" s="29">
        <v>300</v>
      </c>
      <c r="AD44" s="29">
        <v>300</v>
      </c>
      <c r="AE44" s="29"/>
      <c r="AF44" s="29"/>
      <c r="AG44" s="29">
        <v>300</v>
      </c>
      <c r="AH44" s="29">
        <v>300</v>
      </c>
      <c r="AI44" s="29">
        <v>300</v>
      </c>
      <c r="AJ44" s="29">
        <v>300</v>
      </c>
      <c r="AK44" s="29"/>
      <c r="AL44" s="1"/>
      <c r="AM44" s="1"/>
    </row>
    <row r="45" spans="1:39" x14ac:dyDescent="0.45">
      <c r="A45" s="17" t="s">
        <v>13</v>
      </c>
      <c r="B45" s="17" t="s">
        <v>89</v>
      </c>
      <c r="C45" s="17">
        <v>180</v>
      </c>
      <c r="D45" s="18" t="s">
        <v>84</v>
      </c>
      <c r="E45" s="32">
        <f t="shared" si="5"/>
        <v>3060</v>
      </c>
      <c r="F45" s="17" t="s">
        <v>3</v>
      </c>
      <c r="G45" s="29">
        <v>360</v>
      </c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>
        <v>360</v>
      </c>
      <c r="T45" s="29"/>
      <c r="U45" s="29">
        <v>360</v>
      </c>
      <c r="V45" s="29"/>
      <c r="W45" s="29">
        <v>360</v>
      </c>
      <c r="X45" s="29"/>
      <c r="Y45" s="29"/>
      <c r="Z45" s="29"/>
      <c r="AA45" s="29">
        <v>360</v>
      </c>
      <c r="AB45" s="29"/>
      <c r="AC45" s="29">
        <v>540</v>
      </c>
      <c r="AD45" s="29"/>
      <c r="AE45" s="29"/>
      <c r="AF45" s="29"/>
      <c r="AG45" s="29">
        <v>180</v>
      </c>
      <c r="AH45" s="29"/>
      <c r="AI45" s="29">
        <v>180</v>
      </c>
      <c r="AJ45" s="29">
        <v>360</v>
      </c>
      <c r="AK45" s="29"/>
      <c r="AL45" s="1"/>
      <c r="AM45" s="1"/>
    </row>
    <row r="46" spans="1:39" x14ac:dyDescent="0.45">
      <c r="A46" s="17" t="s">
        <v>13</v>
      </c>
      <c r="B46" s="17" t="s">
        <v>46</v>
      </c>
      <c r="C46" s="17">
        <v>180</v>
      </c>
      <c r="D46" s="18" t="s">
        <v>85</v>
      </c>
      <c r="E46" s="32">
        <f t="shared" si="5"/>
        <v>7800</v>
      </c>
      <c r="F46" s="17" t="s">
        <v>3</v>
      </c>
      <c r="G46" s="29">
        <v>480</v>
      </c>
      <c r="H46" s="29">
        <v>480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>
        <v>360</v>
      </c>
      <c r="T46" s="29">
        <v>600</v>
      </c>
      <c r="U46" s="29">
        <v>480</v>
      </c>
      <c r="V46" s="29">
        <v>600</v>
      </c>
      <c r="W46" s="29">
        <v>480</v>
      </c>
      <c r="X46" s="29"/>
      <c r="Y46" s="29"/>
      <c r="Z46" s="29">
        <v>480</v>
      </c>
      <c r="AA46" s="29">
        <v>600</v>
      </c>
      <c r="AB46" s="29">
        <v>480</v>
      </c>
      <c r="AC46" s="29">
        <v>600</v>
      </c>
      <c r="AD46" s="29">
        <v>480</v>
      </c>
      <c r="AE46" s="29"/>
      <c r="AF46" s="29"/>
      <c r="AG46" s="29">
        <v>360</v>
      </c>
      <c r="AH46" s="29">
        <v>480</v>
      </c>
      <c r="AI46" s="29">
        <v>360</v>
      </c>
      <c r="AJ46" s="29">
        <v>480</v>
      </c>
      <c r="AK46" s="29"/>
      <c r="AL46" s="1"/>
      <c r="AM46" s="1"/>
    </row>
    <row r="47" spans="1:39" x14ac:dyDescent="0.45">
      <c r="A47" s="17" t="s">
        <v>13</v>
      </c>
      <c r="B47" s="17" t="s">
        <v>47</v>
      </c>
      <c r="C47" s="17">
        <v>180</v>
      </c>
      <c r="D47" s="18" t="s">
        <v>67</v>
      </c>
      <c r="E47" s="32">
        <f t="shared" si="5"/>
        <v>15480</v>
      </c>
      <c r="F47" s="17" t="s">
        <v>3</v>
      </c>
      <c r="G47" s="29">
        <v>900</v>
      </c>
      <c r="H47" s="29">
        <v>900</v>
      </c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>
        <v>900</v>
      </c>
      <c r="T47" s="29">
        <v>1080</v>
      </c>
      <c r="U47" s="29">
        <v>900</v>
      </c>
      <c r="V47" s="29">
        <v>1080</v>
      </c>
      <c r="W47" s="29">
        <v>900</v>
      </c>
      <c r="X47" s="29"/>
      <c r="Y47" s="29"/>
      <c r="Z47" s="29">
        <v>900</v>
      </c>
      <c r="AA47" s="29">
        <v>1080</v>
      </c>
      <c r="AB47" s="29">
        <v>900</v>
      </c>
      <c r="AC47" s="29">
        <v>1080</v>
      </c>
      <c r="AD47" s="29">
        <v>900</v>
      </c>
      <c r="AE47" s="29"/>
      <c r="AF47" s="29"/>
      <c r="AG47" s="29">
        <v>900</v>
      </c>
      <c r="AH47" s="29">
        <v>1080</v>
      </c>
      <c r="AI47" s="29">
        <v>900</v>
      </c>
      <c r="AJ47" s="29">
        <v>1080</v>
      </c>
      <c r="AK47" s="29"/>
      <c r="AL47" s="1"/>
      <c r="AM47" s="1"/>
    </row>
    <row r="48" spans="1:39" x14ac:dyDescent="0.45">
      <c r="A48" s="17" t="s">
        <v>13</v>
      </c>
      <c r="B48" s="17" t="s">
        <v>48</v>
      </c>
      <c r="C48" s="17">
        <v>180</v>
      </c>
      <c r="D48" s="18" t="s">
        <v>68</v>
      </c>
      <c r="E48" s="32">
        <f t="shared" si="5"/>
        <v>2880</v>
      </c>
      <c r="F48" s="17" t="s">
        <v>3</v>
      </c>
      <c r="G48" s="29">
        <v>360</v>
      </c>
      <c r="H48" s="29">
        <v>180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>
        <v>180</v>
      </c>
      <c r="T48" s="29"/>
      <c r="U48" s="29">
        <v>360</v>
      </c>
      <c r="V48" s="29"/>
      <c r="W48" s="29">
        <v>360</v>
      </c>
      <c r="X48" s="29"/>
      <c r="Y48" s="29"/>
      <c r="Z48" s="29">
        <v>360</v>
      </c>
      <c r="AA48" s="29"/>
      <c r="AB48" s="29">
        <v>180</v>
      </c>
      <c r="AC48" s="29"/>
      <c r="AD48" s="29">
        <v>360</v>
      </c>
      <c r="AE48" s="29"/>
      <c r="AF48" s="29"/>
      <c r="AG48" s="29">
        <v>360</v>
      </c>
      <c r="AH48" s="29"/>
      <c r="AI48" s="29">
        <v>180</v>
      </c>
      <c r="AJ48" s="29"/>
      <c r="AK48" s="29"/>
      <c r="AL48" s="1"/>
      <c r="AM48" s="1"/>
    </row>
    <row r="49" spans="1:39" x14ac:dyDescent="0.45">
      <c r="A49" s="17" t="s">
        <v>13</v>
      </c>
      <c r="B49" s="17" t="s">
        <v>49</v>
      </c>
      <c r="C49" s="17">
        <v>150</v>
      </c>
      <c r="D49" s="18" t="s">
        <v>86</v>
      </c>
      <c r="E49" s="32">
        <f t="shared" si="5"/>
        <v>750</v>
      </c>
      <c r="F49" s="17" t="s">
        <v>3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>
        <v>150</v>
      </c>
      <c r="T49" s="29">
        <v>150</v>
      </c>
      <c r="U49" s="29">
        <v>150</v>
      </c>
      <c r="V49" s="29">
        <v>150</v>
      </c>
      <c r="W49" s="29">
        <v>150</v>
      </c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1"/>
      <c r="AM49" s="1"/>
    </row>
    <row r="50" spans="1:39" x14ac:dyDescent="0.45">
      <c r="A50" s="17" t="s">
        <v>13</v>
      </c>
      <c r="B50" s="17" t="s">
        <v>50</v>
      </c>
      <c r="C50" s="17">
        <v>150</v>
      </c>
      <c r="D50" s="18" t="s">
        <v>87</v>
      </c>
      <c r="E50" s="32">
        <f t="shared" si="5"/>
        <v>14400</v>
      </c>
      <c r="F50" s="17" t="s">
        <v>3</v>
      </c>
      <c r="G50" s="29">
        <v>900</v>
      </c>
      <c r="H50" s="29">
        <v>900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>
        <v>900</v>
      </c>
      <c r="T50" s="29">
        <v>900</v>
      </c>
      <c r="U50" s="29">
        <v>900</v>
      </c>
      <c r="V50" s="29">
        <v>900</v>
      </c>
      <c r="W50" s="29">
        <v>900</v>
      </c>
      <c r="X50" s="29"/>
      <c r="Y50" s="29"/>
      <c r="Z50" s="29">
        <v>900</v>
      </c>
      <c r="AA50" s="29">
        <v>900</v>
      </c>
      <c r="AB50" s="29">
        <v>900</v>
      </c>
      <c r="AC50" s="29">
        <v>900</v>
      </c>
      <c r="AD50" s="29">
        <v>900</v>
      </c>
      <c r="AE50" s="29"/>
      <c r="AF50" s="29"/>
      <c r="AG50" s="29">
        <v>900</v>
      </c>
      <c r="AH50" s="29">
        <v>900</v>
      </c>
      <c r="AI50" s="29">
        <v>900</v>
      </c>
      <c r="AJ50" s="29">
        <v>900</v>
      </c>
      <c r="AK50" s="29"/>
      <c r="AL50" s="1"/>
      <c r="AM50" s="1"/>
    </row>
    <row r="51" spans="1:39" x14ac:dyDescent="0.45">
      <c r="A51" s="17" t="s">
        <v>13</v>
      </c>
      <c r="B51" s="17" t="s">
        <v>51</v>
      </c>
      <c r="C51" s="17">
        <v>120</v>
      </c>
      <c r="D51" s="18" t="s">
        <v>69</v>
      </c>
      <c r="E51" s="32">
        <f t="shared" si="5"/>
        <v>1080</v>
      </c>
      <c r="F51" s="17" t="s">
        <v>3</v>
      </c>
      <c r="G51" s="29">
        <v>180</v>
      </c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>
        <v>180</v>
      </c>
      <c r="U51" s="29"/>
      <c r="V51" s="29">
        <v>180</v>
      </c>
      <c r="W51" s="29"/>
      <c r="X51" s="29"/>
      <c r="Y51" s="29"/>
      <c r="Z51" s="29"/>
      <c r="AA51" s="29">
        <v>180</v>
      </c>
      <c r="AB51" s="29"/>
      <c r="AC51" s="29">
        <v>180</v>
      </c>
      <c r="AD51" s="29"/>
      <c r="AE51" s="29"/>
      <c r="AF51" s="29"/>
      <c r="AG51" s="29"/>
      <c r="AH51" s="29">
        <v>180</v>
      </c>
      <c r="AI51" s="29"/>
      <c r="AJ51" s="29"/>
      <c r="AK51" s="29"/>
      <c r="AL51" s="1"/>
      <c r="AM51" s="1"/>
    </row>
    <row r="52" spans="1:39" x14ac:dyDescent="0.45">
      <c r="A52" s="17" t="s">
        <v>13</v>
      </c>
      <c r="B52" s="17" t="s">
        <v>52</v>
      </c>
      <c r="C52" s="17">
        <v>180</v>
      </c>
      <c r="D52" s="18" t="s">
        <v>88</v>
      </c>
      <c r="E52" s="32">
        <f t="shared" si="5"/>
        <v>2340</v>
      </c>
      <c r="F52" s="17" t="s">
        <v>3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>
        <v>180</v>
      </c>
      <c r="T52" s="29">
        <v>180</v>
      </c>
      <c r="U52" s="29">
        <v>180</v>
      </c>
      <c r="V52" s="29">
        <v>180</v>
      </c>
      <c r="W52" s="29">
        <v>180</v>
      </c>
      <c r="X52" s="29"/>
      <c r="Y52" s="29"/>
      <c r="Z52" s="29">
        <v>180</v>
      </c>
      <c r="AA52" s="29">
        <v>180</v>
      </c>
      <c r="AB52" s="29">
        <v>180</v>
      </c>
      <c r="AC52" s="29"/>
      <c r="AD52" s="29">
        <v>180</v>
      </c>
      <c r="AE52" s="29"/>
      <c r="AF52" s="29"/>
      <c r="AG52" s="29">
        <v>180</v>
      </c>
      <c r="AH52" s="29">
        <v>180</v>
      </c>
      <c r="AI52" s="29">
        <v>180</v>
      </c>
      <c r="AJ52" s="29">
        <v>180</v>
      </c>
      <c r="AK52" s="29"/>
      <c r="AL52" s="1"/>
      <c r="AM52" s="1"/>
    </row>
    <row r="53" spans="1:39" x14ac:dyDescent="0.45">
      <c r="A53" s="17" t="s">
        <v>13</v>
      </c>
      <c r="B53" s="17" t="s">
        <v>53</v>
      </c>
      <c r="C53" s="17">
        <v>180</v>
      </c>
      <c r="D53" s="18" t="s">
        <v>70</v>
      </c>
      <c r="E53" s="32">
        <f t="shared" si="5"/>
        <v>540</v>
      </c>
      <c r="F53" s="17" t="s">
        <v>3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>
        <v>180</v>
      </c>
      <c r="T53" s="29"/>
      <c r="U53" s="29"/>
      <c r="V53" s="29"/>
      <c r="W53" s="29"/>
      <c r="X53" s="29"/>
      <c r="Y53" s="29"/>
      <c r="Z53" s="29"/>
      <c r="AA53" s="29">
        <v>180</v>
      </c>
      <c r="AB53" s="29"/>
      <c r="AC53" s="29"/>
      <c r="AD53" s="29"/>
      <c r="AE53" s="29"/>
      <c r="AF53" s="29"/>
      <c r="AG53" s="29"/>
      <c r="AH53" s="29">
        <v>180</v>
      </c>
      <c r="AI53" s="29"/>
      <c r="AJ53" s="29"/>
      <c r="AK53" s="29"/>
      <c r="AL53" s="1"/>
      <c r="AM53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민수 진</cp:lastModifiedBy>
  <dcterms:created xsi:type="dcterms:W3CDTF">2025-12-18T01:51:42Z</dcterms:created>
  <dcterms:modified xsi:type="dcterms:W3CDTF">2025-12-29T04:48:24Z</dcterms:modified>
</cp:coreProperties>
</file>