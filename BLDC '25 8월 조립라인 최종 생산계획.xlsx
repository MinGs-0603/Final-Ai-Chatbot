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nmi\OneDrive\바탕 화면\로컬 AI 메이커스랩\더미 데이터\1차\"/>
    </mc:Choice>
  </mc:AlternateContent>
  <xr:revisionPtr revIDLastSave="0" documentId="13_ncr:1_{570A4539-038F-476B-802C-D6E1C180BA7F}" xr6:coauthVersionLast="47" xr6:coauthVersionMax="47" xr10:uidLastSave="{00000000-0000-0000-0000-000000000000}"/>
  <bookViews>
    <workbookView xWindow="-110" yWindow="-110" windowWidth="19420" windowHeight="10300" xr2:uid="{47CA1411-3490-4F98-9411-B1BDFA859D94}"/>
  </bookViews>
  <sheets>
    <sheet name="1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G7" i="1"/>
  <c r="G5" i="1"/>
  <c r="J6" i="1"/>
  <c r="E6" i="1" s="1"/>
  <c r="J5" i="1"/>
  <c r="E5" i="1"/>
  <c r="E45" i="1"/>
  <c r="E7" i="1" l="1"/>
  <c r="H6" i="1"/>
  <c r="I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G6" i="1"/>
  <c r="H5" i="1"/>
  <c r="I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E47" i="1"/>
  <c r="E48" i="1"/>
  <c r="E49" i="1"/>
  <c r="E50" i="1"/>
  <c r="E51" i="1"/>
  <c r="E52" i="1"/>
  <c r="E53" i="1"/>
  <c r="E54" i="1"/>
  <c r="E55" i="1"/>
  <c r="E56" i="1"/>
  <c r="E46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1" i="1"/>
  <c r="E42" i="1"/>
  <c r="E43" i="1"/>
  <c r="E44" i="1"/>
  <c r="E21" i="1"/>
  <c r="E10" i="1"/>
  <c r="E11" i="1"/>
  <c r="E12" i="1"/>
  <c r="E13" i="1"/>
  <c r="E14" i="1"/>
  <c r="E15" i="1"/>
  <c r="E16" i="1"/>
  <c r="E17" i="1"/>
  <c r="E18" i="1"/>
  <c r="E19" i="1"/>
  <c r="E20" i="1"/>
  <c r="C4" i="1" l="1"/>
</calcChain>
</file>

<file path=xl/sharedStrings.xml><?xml version="1.0" encoding="utf-8"?>
<sst xmlns="http://schemas.openxmlformats.org/spreadsheetml/2006/main" count="231" uniqueCount="108">
  <si>
    <t>구분</t>
    <phoneticPr fontId="1" type="noConversion"/>
  </si>
  <si>
    <t>PLT</t>
    <phoneticPr fontId="1" type="noConversion"/>
  </si>
  <si>
    <t>CODE</t>
    <phoneticPr fontId="1" type="noConversion"/>
  </si>
  <si>
    <t>LINE</t>
    <phoneticPr fontId="1" type="noConversion"/>
  </si>
  <si>
    <t>조립1</t>
    <phoneticPr fontId="1" type="noConversion"/>
  </si>
  <si>
    <t>조립2</t>
    <phoneticPr fontId="1" type="noConversion"/>
  </si>
  <si>
    <t>조립3</t>
    <phoneticPr fontId="1" type="noConversion"/>
  </si>
  <si>
    <t>FAN</t>
    <phoneticPr fontId="1" type="noConversion"/>
  </si>
  <si>
    <t>THS0060501</t>
    <phoneticPr fontId="1" type="noConversion"/>
  </si>
  <si>
    <t>J9 GEN5 LHD(한성전장)수밀개선</t>
    <phoneticPr fontId="1" type="noConversion"/>
  </si>
  <si>
    <t>THS0082901</t>
    <phoneticPr fontId="1" type="noConversion"/>
  </si>
  <si>
    <t>J9 GEN5 RHD수밀개선</t>
    <phoneticPr fontId="1" type="noConversion"/>
  </si>
  <si>
    <t>THS0098600</t>
    <phoneticPr fontId="1" type="noConversion"/>
  </si>
  <si>
    <t>BERGSTROM</t>
    <phoneticPr fontId="1" type="noConversion"/>
  </si>
  <si>
    <t>A0660015C01</t>
    <phoneticPr fontId="1" type="noConversion"/>
  </si>
  <si>
    <t>LUCID</t>
    <phoneticPr fontId="1" type="noConversion"/>
  </si>
  <si>
    <t>A0660011C00</t>
    <phoneticPr fontId="1" type="noConversion"/>
  </si>
  <si>
    <t>WL LHD</t>
    <phoneticPr fontId="1" type="noConversion"/>
  </si>
  <si>
    <t>A0660012C00</t>
    <phoneticPr fontId="1" type="noConversion"/>
  </si>
  <si>
    <t>WL RHD</t>
    <phoneticPr fontId="1" type="noConversion"/>
  </si>
  <si>
    <t>THS0104600</t>
    <phoneticPr fontId="1" type="noConversion"/>
  </si>
  <si>
    <t>A2XX 중국(수밀개선/23MY)</t>
    <phoneticPr fontId="1" type="noConversion"/>
  </si>
  <si>
    <t>A2XX 미국(수밀개선)</t>
    <phoneticPr fontId="1" type="noConversion"/>
  </si>
  <si>
    <t>THS0104601</t>
    <phoneticPr fontId="1" type="noConversion"/>
  </si>
  <si>
    <t>A2XX 중국(수밀개선/24MY)</t>
    <phoneticPr fontId="1" type="noConversion"/>
  </si>
  <si>
    <t>A2XX 미국(수밀개선/24MY)</t>
    <phoneticPr fontId="1" type="noConversion"/>
  </si>
  <si>
    <t>THS0065801</t>
    <phoneticPr fontId="1" type="noConversion"/>
  </si>
  <si>
    <t>T6 (P703) 수밀(U725)</t>
    <phoneticPr fontId="1" type="noConversion"/>
  </si>
  <si>
    <t>생산 합계</t>
    <phoneticPr fontId="1" type="noConversion"/>
  </si>
  <si>
    <t>품명</t>
    <phoneticPr fontId="1" type="noConversion"/>
  </si>
  <si>
    <t>현장달력</t>
    <phoneticPr fontId="1" type="noConversion"/>
  </si>
  <si>
    <t>조립2</t>
    <phoneticPr fontId="1" type="noConversion"/>
  </si>
  <si>
    <t>THS0070200</t>
    <phoneticPr fontId="1" type="noConversion"/>
  </si>
  <si>
    <t>BEV3 60 CN경도 60(수밀개선)</t>
    <phoneticPr fontId="1" type="noConversion"/>
  </si>
  <si>
    <t>THS0107200</t>
    <phoneticPr fontId="1" type="noConversion"/>
  </si>
  <si>
    <t>BEV3 60 US경도 60(수밀개선)</t>
    <phoneticPr fontId="1" type="noConversion"/>
  </si>
  <si>
    <t>BEV3 60 MX경도 60(수밀개선)</t>
    <phoneticPr fontId="1" type="noConversion"/>
  </si>
  <si>
    <t>THS0107300</t>
    <phoneticPr fontId="1" type="noConversion"/>
  </si>
  <si>
    <t>THS0105700</t>
    <phoneticPr fontId="1" type="noConversion"/>
  </si>
  <si>
    <t>BEV3 30 US경도 30(수밀개선)</t>
    <phoneticPr fontId="1" type="noConversion"/>
  </si>
  <si>
    <t>BEV3 RHD 60 MX(수밀개선)</t>
    <phoneticPr fontId="1" type="noConversion"/>
  </si>
  <si>
    <t>THS0066000</t>
    <phoneticPr fontId="1" type="noConversion"/>
  </si>
  <si>
    <t>V710 CW(RHD)</t>
    <phoneticPr fontId="1" type="noConversion"/>
  </si>
  <si>
    <t>THS0065900</t>
    <phoneticPr fontId="1" type="noConversion"/>
  </si>
  <si>
    <t>V710 CCW(LHD)</t>
    <phoneticPr fontId="1" type="noConversion"/>
  </si>
  <si>
    <t>THS0071700</t>
    <phoneticPr fontId="1" type="noConversion"/>
  </si>
  <si>
    <t>V710 AUX</t>
    <phoneticPr fontId="1" type="noConversion"/>
  </si>
  <si>
    <t>THS0131001</t>
    <phoneticPr fontId="1" type="noConversion"/>
  </si>
  <si>
    <t>RIVIAN R1T(한성전장)</t>
    <phoneticPr fontId="1" type="noConversion"/>
  </si>
  <si>
    <t>THS0132300</t>
    <phoneticPr fontId="1" type="noConversion"/>
  </si>
  <si>
    <t>RIVIAN EDV(한성전장)</t>
    <phoneticPr fontId="1" type="noConversion"/>
  </si>
  <si>
    <t>THS0090903</t>
    <phoneticPr fontId="1" type="noConversion"/>
  </si>
  <si>
    <t>MEL/MET</t>
    <phoneticPr fontId="1" type="noConversion"/>
  </si>
  <si>
    <t>THS0120400</t>
    <phoneticPr fontId="1" type="noConversion"/>
  </si>
  <si>
    <t>W601</t>
    <phoneticPr fontId="1" type="noConversion"/>
  </si>
  <si>
    <t>THS0080704</t>
    <phoneticPr fontId="1" type="noConversion"/>
  </si>
  <si>
    <t>TAM EV</t>
    <phoneticPr fontId="1" type="noConversion"/>
  </si>
  <si>
    <t>THS0128300</t>
    <phoneticPr fontId="1" type="noConversion"/>
  </si>
  <si>
    <t>NX4 RHD</t>
    <phoneticPr fontId="1" type="noConversion"/>
  </si>
  <si>
    <t>THS0125301</t>
    <phoneticPr fontId="1" type="noConversion"/>
  </si>
  <si>
    <t>AX EV LHD</t>
    <phoneticPr fontId="1" type="noConversion"/>
  </si>
  <si>
    <t>THS0128001</t>
    <phoneticPr fontId="1" type="noConversion"/>
  </si>
  <si>
    <t>AX EV RHD</t>
    <phoneticPr fontId="1" type="noConversion"/>
  </si>
  <si>
    <t>THS0136900</t>
    <phoneticPr fontId="1" type="noConversion"/>
  </si>
  <si>
    <t>SU2I</t>
    <phoneticPr fontId="1" type="noConversion"/>
  </si>
  <si>
    <t>THS0189101</t>
    <phoneticPr fontId="1" type="noConversion"/>
  </si>
  <si>
    <t>THS0066100</t>
    <phoneticPr fontId="1" type="noConversion"/>
  </si>
  <si>
    <t>PACCARLHD</t>
    <phoneticPr fontId="1" type="noConversion"/>
  </si>
  <si>
    <t>THS0066200</t>
    <phoneticPr fontId="1" type="noConversion"/>
  </si>
  <si>
    <t>PACCARRHD</t>
    <phoneticPr fontId="1" type="noConversion"/>
  </si>
  <si>
    <t>THS0135900</t>
    <phoneticPr fontId="1" type="noConversion"/>
  </si>
  <si>
    <t>NAVISTAR</t>
    <phoneticPr fontId="1" type="noConversion"/>
  </si>
  <si>
    <t>TGS0135802</t>
    <phoneticPr fontId="1" type="noConversion"/>
  </si>
  <si>
    <t>M2</t>
    <phoneticPr fontId="1" type="noConversion"/>
  </si>
  <si>
    <t>FLANGE</t>
    <phoneticPr fontId="1" type="noConversion"/>
  </si>
  <si>
    <t>THS0152401</t>
    <phoneticPr fontId="1" type="noConversion"/>
  </si>
  <si>
    <t>RG3(한성전장)</t>
    <phoneticPr fontId="1" type="noConversion"/>
  </si>
  <si>
    <t>THS0143201</t>
    <phoneticPr fontId="1" type="noConversion"/>
  </si>
  <si>
    <t>MX5a(한성전장)</t>
    <phoneticPr fontId="1" type="noConversion"/>
  </si>
  <si>
    <t>THS0081601</t>
    <phoneticPr fontId="1" type="noConversion"/>
  </si>
  <si>
    <t>MQ5(한성전장)</t>
    <phoneticPr fontId="1" type="noConversion"/>
  </si>
  <si>
    <t>THS0081801</t>
    <phoneticPr fontId="1" type="noConversion"/>
  </si>
  <si>
    <t>MQ4 LHD(한성전장)</t>
    <phoneticPr fontId="1" type="noConversion"/>
  </si>
  <si>
    <t>THS0122201</t>
    <phoneticPr fontId="1" type="noConversion"/>
  </si>
  <si>
    <t>SV LHD</t>
    <phoneticPr fontId="1" type="noConversion"/>
  </si>
  <si>
    <t>THS0123301</t>
    <phoneticPr fontId="1" type="noConversion"/>
  </si>
  <si>
    <t>SV RHD</t>
    <phoneticPr fontId="1" type="noConversion"/>
  </si>
  <si>
    <t>THS0216300</t>
    <phoneticPr fontId="1" type="noConversion"/>
  </si>
  <si>
    <t>SZ1e LHD (SV LHD CKD 포장)</t>
    <phoneticPr fontId="1" type="noConversion"/>
  </si>
  <si>
    <t>THS0216400</t>
    <phoneticPr fontId="1" type="noConversion"/>
  </si>
  <si>
    <t>SZ1e RHD(SV RHD CKD 포장)</t>
    <phoneticPr fontId="1" type="noConversion"/>
  </si>
  <si>
    <t>THS0081901</t>
    <phoneticPr fontId="1" type="noConversion"/>
  </si>
  <si>
    <t>MQ4 RHD</t>
    <phoneticPr fontId="1" type="noConversion"/>
  </si>
  <si>
    <t>THS0173101</t>
    <phoneticPr fontId="1" type="noConversion"/>
  </si>
  <si>
    <t>TBSH SW CCW IMPELLER ASM</t>
    <phoneticPr fontId="1" type="noConversion"/>
  </si>
  <si>
    <t>THS0173201</t>
    <phoneticPr fontId="1" type="noConversion"/>
  </si>
  <si>
    <t>TBSH SW CW IMPELLER ASM</t>
    <phoneticPr fontId="1" type="noConversion"/>
  </si>
  <si>
    <t>FAN</t>
    <phoneticPr fontId="1" type="noConversion"/>
  </si>
  <si>
    <t>근무</t>
    <phoneticPr fontId="1" type="noConversion"/>
  </si>
  <si>
    <t>조립3</t>
    <phoneticPr fontId="1" type="noConversion"/>
  </si>
  <si>
    <t>휴무</t>
    <phoneticPr fontId="1" type="noConversion"/>
  </si>
  <si>
    <t>일 CAPA</t>
    <phoneticPr fontId="1" type="noConversion"/>
  </si>
  <si>
    <t>BLDC 조립라인 8월 생산계획</t>
  </si>
  <si>
    <t>SW (두원)_CCW</t>
    <phoneticPr fontId="1" type="noConversion"/>
  </si>
  <si>
    <t>SW (두원)_CW</t>
    <phoneticPr fontId="1" type="noConversion"/>
  </si>
  <si>
    <t>THS0189401</t>
    <phoneticPr fontId="1" type="noConversion"/>
  </si>
  <si>
    <t>T6 (P703) 수밀(U725)</t>
  </si>
  <si>
    <t>THS0065801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</si>
</sst>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\/d\(aaa\)"/>
    <numFmt numFmtId="177" formatCode="#,##0;[=0]&quot;-&quot;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1"/>
      <color rgb="FF0000CC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DDE9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6" fillId="0" borderId="5" xfId="0" applyFont="1" applyBorder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6" fontId="6" fillId="5" borderId="4" xfId="0" applyNumberFormat="1" applyFont="1" applyFill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0" fontId="0" fillId="2" borderId="4" xfId="0" applyFill="1" applyBorder="1">
      <alignment vertical="center"/>
    </xf>
    <xf numFmtId="177" fontId="4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" fontId="0" fillId="2" borderId="4" xfId="0" applyNumberFormat="1" applyFill="1" applyBorder="1">
      <alignment vertical="center"/>
    </xf>
    <xf numFmtId="0" fontId="0" fillId="3" borderId="4" xfId="0" applyFill="1" applyBorder="1">
      <alignment vertical="center"/>
    </xf>
    <xf numFmtId="177" fontId="4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3" fontId="0" fillId="3" borderId="4" xfId="0" applyNumberFormat="1" applyFill="1" applyBorder="1">
      <alignment vertical="center"/>
    </xf>
    <xf numFmtId="0" fontId="8" fillId="3" borderId="4" xfId="0" applyFont="1" applyFill="1" applyBorder="1">
      <alignment vertical="center"/>
    </xf>
    <xf numFmtId="0" fontId="0" fillId="4" borderId="4" xfId="0" applyFill="1" applyBorder="1">
      <alignment vertical="center"/>
    </xf>
    <xf numFmtId="177" fontId="4" fillId="4" borderId="4" xfId="0" applyNumberFormat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3" fontId="0" fillId="4" borderId="4" xfId="0" applyNumberFormat="1" applyFill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76" fontId="6" fillId="5" borderId="10" xfId="0" applyNumberFormat="1" applyFont="1" applyFill="1" applyBorder="1" applyAlignment="1">
      <alignment horizontal="center" vertical="center"/>
    </xf>
    <xf numFmtId="0" fontId="0" fillId="2" borderId="9" xfId="0" applyFill="1" applyBorder="1">
      <alignment vertical="center"/>
    </xf>
    <xf numFmtId="3" fontId="0" fillId="2" borderId="10" xfId="0" applyNumberFormat="1" applyFill="1" applyBorder="1">
      <alignment vertical="center"/>
    </xf>
    <xf numFmtId="0" fontId="0" fillId="3" borderId="9" xfId="0" applyFill="1" applyBorder="1">
      <alignment vertical="center"/>
    </xf>
    <xf numFmtId="3" fontId="0" fillId="3" borderId="10" xfId="0" applyNumberFormat="1" applyFill="1" applyBorder="1">
      <alignment vertical="center"/>
    </xf>
    <xf numFmtId="0" fontId="8" fillId="3" borderId="9" xfId="0" applyFont="1" applyFill="1" applyBorder="1">
      <alignment vertical="center"/>
    </xf>
    <xf numFmtId="0" fontId="0" fillId="4" borderId="9" xfId="0" applyFill="1" applyBorder="1">
      <alignment vertical="center"/>
    </xf>
    <xf numFmtId="3" fontId="0" fillId="4" borderId="10" xfId="0" applyNumberFormat="1" applyFill="1" applyBorder="1">
      <alignment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177" fontId="4" fillId="4" borderId="12" xfId="0" applyNumberFormat="1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3" fontId="0" fillId="4" borderId="12" xfId="0" applyNumberFormat="1" applyFill="1" applyBorder="1">
      <alignment vertical="center"/>
    </xf>
    <xf numFmtId="3" fontId="0" fillId="4" borderId="13" xfId="0" applyNumberFormat="1" applyFill="1" applyBorder="1">
      <alignment vertical="center"/>
    </xf>
    <xf numFmtId="3" fontId="6" fillId="0" borderId="4" xfId="0" applyNumberFormat="1" applyFont="1" applyBorder="1">
      <alignment vertical="center"/>
    </xf>
    <xf numFmtId="0" fontId="0" fillId="0" borderId="6" xfId="0" applyBorder="1">
      <alignment vertical="center"/>
    </xf>
    <xf numFmtId="0" fontId="6" fillId="0" borderId="7" xfId="0" applyFont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3" fontId="6" fillId="0" borderId="12" xfId="0" applyNumberFormat="1" applyFont="1" applyBorder="1">
      <alignment vertical="center"/>
    </xf>
    <xf numFmtId="3" fontId="4" fillId="0" borderId="13" xfId="0" applyNumberFormat="1" applyFont="1" applyBorder="1">
      <alignment vertical="center"/>
    </xf>
    <xf numFmtId="0" fontId="9" fillId="4" borderId="3" xfId="0" applyFont="1" applyFill="1" applyBorder="1">
      <alignment vertical="center"/>
    </xf>
    <xf numFmtId="0" fontId="4" fillId="4" borderId="0" xfId="0" applyFont="1" applyFill="1">
      <alignment vertical="center"/>
    </xf>
    <xf numFmtId="0" fontId="4" fillId="4" borderId="2" xfId="0" applyFont="1" applyFill="1" applyBorder="1">
      <alignment vertical="center"/>
    </xf>
    <xf numFmtId="0" fontId="3" fillId="4" borderId="3" xfId="0" applyFont="1" applyFill="1" applyBorder="1">
      <alignment vertical="center"/>
    </xf>
    <xf numFmtId="0" fontId="4" fillId="4" borderId="3" xfId="0" applyFont="1" applyFill="1" applyBorder="1">
      <alignment vertical="center"/>
    </xf>
    <xf numFmtId="0" fontId="0" fillId="4" borderId="0" xfId="0" applyFill="1">
      <alignment vertical="center"/>
    </xf>
    <xf numFmtId="177" fontId="7" fillId="0" borderId="1" xfId="0" applyNumberFormat="1" applyFont="1" applyBorder="1" applyAlignment="1">
      <alignment horizontal="center" vertical="center"/>
    </xf>
    <xf numFmtId="177" fontId="7" fillId="0" borderId="5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DDE91"/>
      <color rgb="FFFFFF00"/>
      <color rgb="FF0000CC"/>
      <color rgb="FFF9D9A9"/>
      <color rgb="FFE4F070"/>
      <color rgb="FFF4BD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57BE-9B5C-4C7B-9B91-7809BA7D9CFD}">
  <dimension ref="A1:AK56"/>
  <sheetViews>
    <sheetView tabSelected="1" zoomScale="85" zoomScaleNormal="85" workbookViewId="0">
      <selection activeCell="E13" sqref="E13"/>
    </sheetView>
  </sheetViews>
  <sheetFormatPr defaultRowHeight="17" x14ac:dyDescent="0.45"/>
  <cols>
    <col min="2" max="2" width="11.6640625" bestFit="1" customWidth="1"/>
    <col min="4" max="4" width="29.5" bestFit="1" customWidth="1"/>
    <col min="5" max="5" width="8.6640625" style="2"/>
    <col min="6" max="6" width="8.6640625" style="1"/>
    <col min="7" max="7" width="10.6640625" bestFit="1" customWidth="1"/>
  </cols>
  <sheetData>
    <row r="1" spans="1:37" x14ac:dyDescent="0.45">
      <c r="A1" s="45"/>
      <c r="B1" s="46" t="s">
        <v>101</v>
      </c>
      <c r="C1" s="47"/>
    </row>
    <row r="2" spans="1:37" x14ac:dyDescent="0.45">
      <c r="A2" s="48">
        <v>1</v>
      </c>
      <c r="B2" s="44">
        <v>3300</v>
      </c>
      <c r="C2" s="49"/>
    </row>
    <row r="3" spans="1:37" x14ac:dyDescent="0.45">
      <c r="A3" s="48">
        <v>2</v>
      </c>
      <c r="B3" s="44">
        <v>3700</v>
      </c>
      <c r="C3" s="49"/>
    </row>
    <row r="4" spans="1:37" ht="17.5" thickBot="1" x14ac:dyDescent="0.5">
      <c r="A4" s="50">
        <v>3</v>
      </c>
      <c r="B4" s="51">
        <v>3600</v>
      </c>
      <c r="C4" s="52">
        <f>SUM($E$5:$E$7)</f>
        <v>197590</v>
      </c>
    </row>
    <row r="5" spans="1:37" s="5" customFormat="1" ht="17.5" thickBot="1" x14ac:dyDescent="0.5">
      <c r="A5" s="53"/>
      <c r="B5" s="54"/>
      <c r="C5" s="54"/>
      <c r="D5" s="55"/>
      <c r="E5" s="59">
        <f>SUM($G5:$AK5)</f>
        <v>58725</v>
      </c>
      <c r="F5" s="3" t="s">
        <v>4</v>
      </c>
      <c r="G5" s="4">
        <f>SUM(G$10:G$20)</f>
        <v>0</v>
      </c>
      <c r="H5" s="4">
        <f t="shared" ref="H5:AK5" si="0">SUM(H$10:H$20)</f>
        <v>0</v>
      </c>
      <c r="I5" s="4">
        <f t="shared" si="0"/>
        <v>0</v>
      </c>
      <c r="J5" s="4">
        <f>SUM(J$10:J$20)</f>
        <v>3225</v>
      </c>
      <c r="K5" s="4">
        <f t="shared" si="0"/>
        <v>3225</v>
      </c>
      <c r="L5" s="4">
        <f t="shared" si="0"/>
        <v>3225</v>
      </c>
      <c r="M5" s="4">
        <f t="shared" si="0"/>
        <v>3225</v>
      </c>
      <c r="N5" s="4">
        <f t="shared" si="0"/>
        <v>3325</v>
      </c>
      <c r="O5" s="4">
        <f t="shared" si="0"/>
        <v>0</v>
      </c>
      <c r="P5" s="4">
        <f t="shared" si="0"/>
        <v>0</v>
      </c>
      <c r="Q5" s="4">
        <f t="shared" si="0"/>
        <v>2550</v>
      </c>
      <c r="R5" s="4">
        <f t="shared" si="0"/>
        <v>2350</v>
      </c>
      <c r="S5" s="4">
        <f t="shared" si="0"/>
        <v>2950</v>
      </c>
      <c r="T5" s="4">
        <f t="shared" si="0"/>
        <v>3175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3450</v>
      </c>
      <c r="Y5" s="4">
        <f t="shared" si="0"/>
        <v>3450</v>
      </c>
      <c r="Z5" s="4">
        <f t="shared" si="0"/>
        <v>3375</v>
      </c>
      <c r="AA5" s="4">
        <f t="shared" si="0"/>
        <v>3450</v>
      </c>
      <c r="AB5" s="4">
        <f t="shared" si="0"/>
        <v>2775</v>
      </c>
      <c r="AC5" s="4">
        <f t="shared" si="0"/>
        <v>0</v>
      </c>
      <c r="AD5" s="4">
        <f t="shared" si="0"/>
        <v>0</v>
      </c>
      <c r="AE5" s="4">
        <f t="shared" si="0"/>
        <v>2975</v>
      </c>
      <c r="AF5" s="4">
        <f t="shared" si="0"/>
        <v>3150</v>
      </c>
      <c r="AG5" s="4">
        <f t="shared" si="0"/>
        <v>3050</v>
      </c>
      <c r="AH5" s="4">
        <f t="shared" si="0"/>
        <v>3350</v>
      </c>
      <c r="AI5" s="4">
        <f t="shared" si="0"/>
        <v>2450</v>
      </c>
      <c r="AJ5" s="4">
        <f t="shared" si="0"/>
        <v>0</v>
      </c>
      <c r="AK5" s="4">
        <f t="shared" si="0"/>
        <v>0</v>
      </c>
    </row>
    <row r="6" spans="1:37" s="5" customFormat="1" ht="26" thickBot="1" x14ac:dyDescent="0.5">
      <c r="A6" s="56" t="s">
        <v>102</v>
      </c>
      <c r="B6" s="54"/>
      <c r="C6" s="54"/>
      <c r="D6" s="54"/>
      <c r="E6" s="59">
        <f>SUM($G6:$AK6)</f>
        <v>77560</v>
      </c>
      <c r="F6" s="3" t="s">
        <v>5</v>
      </c>
      <c r="G6" s="4">
        <f t="shared" ref="G6:AK6" si="1">SUM(G$21:G$44)</f>
        <v>0</v>
      </c>
      <c r="H6" s="4">
        <f t="shared" si="1"/>
        <v>0</v>
      </c>
      <c r="I6" s="4">
        <f t="shared" si="1"/>
        <v>0</v>
      </c>
      <c r="J6" s="4">
        <f>SUM(J$21:J$44)</f>
        <v>4125</v>
      </c>
      <c r="K6" s="4">
        <f t="shared" si="1"/>
        <v>4065</v>
      </c>
      <c r="L6" s="4">
        <f t="shared" si="1"/>
        <v>3850</v>
      </c>
      <c r="M6" s="4">
        <f t="shared" si="1"/>
        <v>3675</v>
      </c>
      <c r="N6" s="4">
        <f t="shared" si="1"/>
        <v>4125</v>
      </c>
      <c r="O6" s="4">
        <f t="shared" si="1"/>
        <v>0</v>
      </c>
      <c r="P6" s="4">
        <f t="shared" si="1"/>
        <v>0</v>
      </c>
      <c r="Q6" s="4">
        <f t="shared" si="1"/>
        <v>3600</v>
      </c>
      <c r="R6" s="4">
        <f t="shared" si="1"/>
        <v>3595</v>
      </c>
      <c r="S6" s="4">
        <f t="shared" si="1"/>
        <v>4300</v>
      </c>
      <c r="T6" s="4">
        <f t="shared" si="1"/>
        <v>4255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4275</v>
      </c>
      <c r="Y6" s="4">
        <f t="shared" si="1"/>
        <v>3900</v>
      </c>
      <c r="Z6" s="4">
        <f t="shared" si="1"/>
        <v>4305</v>
      </c>
      <c r="AA6" s="4">
        <f t="shared" si="1"/>
        <v>4250</v>
      </c>
      <c r="AB6" s="4">
        <f t="shared" si="1"/>
        <v>4325</v>
      </c>
      <c r="AC6" s="4">
        <f t="shared" si="1"/>
        <v>0</v>
      </c>
      <c r="AD6" s="4">
        <f t="shared" si="1"/>
        <v>0</v>
      </c>
      <c r="AE6" s="4">
        <f t="shared" si="1"/>
        <v>4300</v>
      </c>
      <c r="AF6" s="4">
        <f t="shared" si="1"/>
        <v>4430</v>
      </c>
      <c r="AG6" s="4">
        <f t="shared" si="1"/>
        <v>4540</v>
      </c>
      <c r="AH6" s="4">
        <f t="shared" si="1"/>
        <v>4260</v>
      </c>
      <c r="AI6" s="4">
        <f t="shared" si="1"/>
        <v>3385</v>
      </c>
      <c r="AJ6" s="4">
        <f t="shared" si="1"/>
        <v>0</v>
      </c>
      <c r="AK6" s="4">
        <f t="shared" si="1"/>
        <v>0</v>
      </c>
    </row>
    <row r="7" spans="1:37" s="5" customFormat="1" ht="17.5" thickBot="1" x14ac:dyDescent="0.5">
      <c r="A7" s="57"/>
      <c r="B7" s="54"/>
      <c r="C7" s="54"/>
      <c r="D7" s="54"/>
      <c r="E7" s="60">
        <f>SUM($G7:$AK7)</f>
        <v>61305</v>
      </c>
      <c r="F7" s="6" t="s">
        <v>6</v>
      </c>
      <c r="G7" s="7">
        <f>SUM(G$45:G$56)</f>
        <v>0</v>
      </c>
      <c r="H7" s="7">
        <f t="shared" ref="H7:AK7" si="2">SUM(H$45:H$56)</f>
        <v>0</v>
      </c>
      <c r="I7" s="7">
        <f t="shared" si="2"/>
        <v>0</v>
      </c>
      <c r="J7" s="7">
        <f t="shared" si="2"/>
        <v>3150</v>
      </c>
      <c r="K7" s="7">
        <f t="shared" si="2"/>
        <v>3150</v>
      </c>
      <c r="L7" s="7">
        <f t="shared" si="2"/>
        <v>3030</v>
      </c>
      <c r="M7" s="7">
        <f t="shared" si="2"/>
        <v>3090</v>
      </c>
      <c r="N7" s="7">
        <f t="shared" si="2"/>
        <v>2670</v>
      </c>
      <c r="O7" s="7">
        <f t="shared" si="2"/>
        <v>0</v>
      </c>
      <c r="P7" s="7">
        <f t="shared" si="2"/>
        <v>0</v>
      </c>
      <c r="Q7" s="7">
        <f t="shared" si="2"/>
        <v>2610</v>
      </c>
      <c r="R7" s="7">
        <f t="shared" si="2"/>
        <v>3120</v>
      </c>
      <c r="S7" s="7">
        <f t="shared" si="2"/>
        <v>3330</v>
      </c>
      <c r="T7" s="7">
        <f t="shared" si="2"/>
        <v>3000</v>
      </c>
      <c r="U7" s="7">
        <f t="shared" si="2"/>
        <v>0</v>
      </c>
      <c r="V7" s="7">
        <f t="shared" si="2"/>
        <v>0</v>
      </c>
      <c r="W7" s="7">
        <f t="shared" si="2"/>
        <v>0</v>
      </c>
      <c r="X7" s="7">
        <f t="shared" si="2"/>
        <v>3060</v>
      </c>
      <c r="Y7" s="7">
        <f t="shared" si="2"/>
        <v>3150</v>
      </c>
      <c r="Z7" s="7">
        <f t="shared" si="2"/>
        <v>3400</v>
      </c>
      <c r="AA7" s="7">
        <f t="shared" si="2"/>
        <v>3100</v>
      </c>
      <c r="AB7" s="7">
        <f t="shared" si="2"/>
        <v>3805</v>
      </c>
      <c r="AC7" s="7">
        <f t="shared" si="2"/>
        <v>0</v>
      </c>
      <c r="AD7" s="7">
        <f t="shared" si="2"/>
        <v>0</v>
      </c>
      <c r="AE7" s="7">
        <f t="shared" si="2"/>
        <v>3670</v>
      </c>
      <c r="AF7" s="7">
        <f t="shared" si="2"/>
        <v>3640</v>
      </c>
      <c r="AG7" s="7">
        <f t="shared" si="2"/>
        <v>3675</v>
      </c>
      <c r="AH7" s="7">
        <f t="shared" si="2"/>
        <v>3805</v>
      </c>
      <c r="AI7" s="7">
        <f t="shared" si="2"/>
        <v>2850</v>
      </c>
      <c r="AJ7" s="7">
        <f t="shared" si="2"/>
        <v>0</v>
      </c>
      <c r="AK7" s="7">
        <f t="shared" si="2"/>
        <v>0</v>
      </c>
    </row>
    <row r="8" spans="1:37" s="2" customFormat="1" x14ac:dyDescent="0.45">
      <c r="A8" s="24" t="s">
        <v>0</v>
      </c>
      <c r="B8" s="25" t="s">
        <v>2</v>
      </c>
      <c r="C8" s="25" t="s">
        <v>1</v>
      </c>
      <c r="D8" s="25" t="s">
        <v>29</v>
      </c>
      <c r="E8" s="25" t="s">
        <v>28</v>
      </c>
      <c r="F8" s="26" t="s">
        <v>30</v>
      </c>
      <c r="G8" s="27" t="s">
        <v>100</v>
      </c>
      <c r="H8" s="27" t="s">
        <v>100</v>
      </c>
      <c r="I8" s="27" t="s">
        <v>100</v>
      </c>
      <c r="J8" s="25" t="s">
        <v>98</v>
      </c>
      <c r="K8" s="25" t="s">
        <v>98</v>
      </c>
      <c r="L8" s="25" t="s">
        <v>98</v>
      </c>
      <c r="M8" s="25" t="s">
        <v>98</v>
      </c>
      <c r="N8" s="25" t="s">
        <v>98</v>
      </c>
      <c r="O8" s="27" t="s">
        <v>100</v>
      </c>
      <c r="P8" s="27" t="s">
        <v>100</v>
      </c>
      <c r="Q8" s="25" t="s">
        <v>98</v>
      </c>
      <c r="R8" s="25" t="s">
        <v>98</v>
      </c>
      <c r="S8" s="25" t="s">
        <v>98</v>
      </c>
      <c r="T8" s="25" t="s">
        <v>98</v>
      </c>
      <c r="U8" s="27" t="s">
        <v>100</v>
      </c>
      <c r="V8" s="27" t="s">
        <v>100</v>
      </c>
      <c r="W8" s="27" t="s">
        <v>100</v>
      </c>
      <c r="X8" s="25" t="s">
        <v>98</v>
      </c>
      <c r="Y8" s="25" t="s">
        <v>98</v>
      </c>
      <c r="Z8" s="25" t="s">
        <v>98</v>
      </c>
      <c r="AA8" s="25" t="s">
        <v>98</v>
      </c>
      <c r="AB8" s="25" t="s">
        <v>98</v>
      </c>
      <c r="AC8" s="27" t="s">
        <v>100</v>
      </c>
      <c r="AD8" s="27" t="s">
        <v>100</v>
      </c>
      <c r="AE8" s="25" t="s">
        <v>98</v>
      </c>
      <c r="AF8" s="25" t="s">
        <v>98</v>
      </c>
      <c r="AG8" s="25" t="s">
        <v>98</v>
      </c>
      <c r="AH8" s="25" t="s">
        <v>98</v>
      </c>
      <c r="AI8" s="25" t="s">
        <v>98</v>
      </c>
      <c r="AJ8" s="27" t="s">
        <v>100</v>
      </c>
      <c r="AK8" s="28" t="s">
        <v>100</v>
      </c>
    </row>
    <row r="9" spans="1:37" s="2" customFormat="1" x14ac:dyDescent="0.45">
      <c r="A9" s="29"/>
      <c r="B9" s="8"/>
      <c r="C9" s="8"/>
      <c r="D9" s="8"/>
      <c r="E9" s="8"/>
      <c r="F9" s="8" t="s">
        <v>3</v>
      </c>
      <c r="G9" s="9">
        <v>45870</v>
      </c>
      <c r="H9" s="9">
        <v>45871</v>
      </c>
      <c r="I9" s="9">
        <v>45872</v>
      </c>
      <c r="J9" s="10">
        <v>45873</v>
      </c>
      <c r="K9" s="10">
        <v>45874</v>
      </c>
      <c r="L9" s="10">
        <v>45875</v>
      </c>
      <c r="M9" s="10">
        <v>45876</v>
      </c>
      <c r="N9" s="10">
        <v>45877</v>
      </c>
      <c r="O9" s="9">
        <v>45878</v>
      </c>
      <c r="P9" s="9">
        <v>45879</v>
      </c>
      <c r="Q9" s="10">
        <v>45880</v>
      </c>
      <c r="R9" s="10">
        <v>45881</v>
      </c>
      <c r="S9" s="10">
        <v>45882</v>
      </c>
      <c r="T9" s="10">
        <v>45883</v>
      </c>
      <c r="U9" s="9">
        <v>45884</v>
      </c>
      <c r="V9" s="9">
        <v>45885</v>
      </c>
      <c r="W9" s="9">
        <v>45886</v>
      </c>
      <c r="X9" s="10">
        <v>45887</v>
      </c>
      <c r="Y9" s="10">
        <v>45888</v>
      </c>
      <c r="Z9" s="10">
        <v>45889</v>
      </c>
      <c r="AA9" s="10">
        <v>45890</v>
      </c>
      <c r="AB9" s="10">
        <v>45891</v>
      </c>
      <c r="AC9" s="9">
        <v>45892</v>
      </c>
      <c r="AD9" s="9">
        <v>45893</v>
      </c>
      <c r="AE9" s="10">
        <v>45894</v>
      </c>
      <c r="AF9" s="10">
        <v>45895</v>
      </c>
      <c r="AG9" s="10">
        <v>45896</v>
      </c>
      <c r="AH9" s="10">
        <v>45897</v>
      </c>
      <c r="AI9" s="10">
        <v>45898</v>
      </c>
      <c r="AJ9" s="9">
        <v>45899</v>
      </c>
      <c r="AK9" s="30">
        <v>45900</v>
      </c>
    </row>
    <row r="10" spans="1:37" x14ac:dyDescent="0.45">
      <c r="A10" s="31" t="s">
        <v>7</v>
      </c>
      <c r="B10" s="11" t="s">
        <v>8</v>
      </c>
      <c r="C10" s="11">
        <v>175</v>
      </c>
      <c r="D10" s="11" t="s">
        <v>9</v>
      </c>
      <c r="E10" s="12">
        <f>SUM($G10:$AK10)</f>
        <v>24850</v>
      </c>
      <c r="F10" s="13" t="s">
        <v>4</v>
      </c>
      <c r="G10" s="14"/>
      <c r="H10" s="14"/>
      <c r="I10" s="14"/>
      <c r="J10" s="14">
        <v>1400</v>
      </c>
      <c r="K10" s="14">
        <v>1400</v>
      </c>
      <c r="L10" s="14">
        <v>1400</v>
      </c>
      <c r="M10" s="14">
        <v>1400</v>
      </c>
      <c r="N10" s="14">
        <v>1225</v>
      </c>
      <c r="O10" s="14"/>
      <c r="P10" s="14"/>
      <c r="Q10" s="14">
        <v>1750</v>
      </c>
      <c r="R10" s="14">
        <v>1575</v>
      </c>
      <c r="S10" s="14">
        <v>1750</v>
      </c>
      <c r="T10" s="14">
        <v>1575</v>
      </c>
      <c r="U10" s="14"/>
      <c r="V10" s="14"/>
      <c r="W10" s="14"/>
      <c r="X10" s="14">
        <v>1575</v>
      </c>
      <c r="Y10" s="14">
        <v>1575</v>
      </c>
      <c r="Z10" s="14">
        <v>1575</v>
      </c>
      <c r="AA10" s="14">
        <v>1575</v>
      </c>
      <c r="AB10" s="14">
        <v>875</v>
      </c>
      <c r="AC10" s="14"/>
      <c r="AD10" s="14"/>
      <c r="AE10" s="14">
        <v>700</v>
      </c>
      <c r="AF10" s="14">
        <v>875</v>
      </c>
      <c r="AG10" s="14">
        <v>1050</v>
      </c>
      <c r="AH10" s="14">
        <v>875</v>
      </c>
      <c r="AI10" s="14">
        <v>700</v>
      </c>
      <c r="AJ10" s="14"/>
      <c r="AK10" s="32"/>
    </row>
    <row r="11" spans="1:37" x14ac:dyDescent="0.45">
      <c r="A11" s="31" t="s">
        <v>7</v>
      </c>
      <c r="B11" s="11" t="s">
        <v>10</v>
      </c>
      <c r="C11" s="11">
        <v>175</v>
      </c>
      <c r="D11" s="11" t="s">
        <v>11</v>
      </c>
      <c r="E11" s="12">
        <f t="shared" ref="E11:E20" si="3">SUM($G11:$AK11)</f>
        <v>350</v>
      </c>
      <c r="F11" s="13" t="s">
        <v>4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>
        <v>175</v>
      </c>
      <c r="S11" s="14"/>
      <c r="T11" s="14"/>
      <c r="U11" s="14"/>
      <c r="V11" s="14"/>
      <c r="W11" s="14"/>
      <c r="X11" s="14"/>
      <c r="Y11" s="14"/>
      <c r="Z11" s="14"/>
      <c r="AA11" s="14"/>
      <c r="AB11" s="14">
        <v>175</v>
      </c>
      <c r="AC11" s="14"/>
      <c r="AD11" s="14"/>
      <c r="AE11" s="14"/>
      <c r="AF11" s="14"/>
      <c r="AG11" s="14"/>
      <c r="AH11" s="14"/>
      <c r="AI11" s="14"/>
      <c r="AJ11" s="14"/>
      <c r="AK11" s="32"/>
    </row>
    <row r="12" spans="1:37" x14ac:dyDescent="0.45">
      <c r="A12" s="31" t="s">
        <v>7</v>
      </c>
      <c r="B12" s="11" t="s">
        <v>12</v>
      </c>
      <c r="C12" s="11">
        <v>175</v>
      </c>
      <c r="D12" s="11" t="s">
        <v>13</v>
      </c>
      <c r="E12" s="12">
        <f t="shared" si="3"/>
        <v>0</v>
      </c>
      <c r="F12" s="13" t="s">
        <v>4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32"/>
    </row>
    <row r="13" spans="1:37" x14ac:dyDescent="0.45">
      <c r="A13" s="31" t="s">
        <v>7</v>
      </c>
      <c r="B13" s="11" t="s">
        <v>14</v>
      </c>
      <c r="C13" s="11">
        <v>200</v>
      </c>
      <c r="D13" s="11" t="s">
        <v>15</v>
      </c>
      <c r="E13" s="12">
        <f t="shared" si="3"/>
        <v>0</v>
      </c>
      <c r="F13" s="13" t="s">
        <v>4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32"/>
    </row>
    <row r="14" spans="1:37" x14ac:dyDescent="0.45">
      <c r="A14" s="31" t="s">
        <v>74</v>
      </c>
      <c r="B14" s="11" t="s">
        <v>16</v>
      </c>
      <c r="C14" s="11">
        <v>200</v>
      </c>
      <c r="D14" s="11" t="s">
        <v>17</v>
      </c>
      <c r="E14" s="12">
        <f t="shared" si="3"/>
        <v>20400</v>
      </c>
      <c r="F14" s="13" t="s">
        <v>4</v>
      </c>
      <c r="G14" s="14"/>
      <c r="H14" s="14"/>
      <c r="I14" s="14"/>
      <c r="J14" s="14">
        <v>600</v>
      </c>
      <c r="K14" s="14">
        <v>600</v>
      </c>
      <c r="L14" s="14">
        <v>600</v>
      </c>
      <c r="M14" s="14">
        <v>600</v>
      </c>
      <c r="N14" s="14">
        <v>1400</v>
      </c>
      <c r="O14" s="14"/>
      <c r="P14" s="14"/>
      <c r="Q14" s="14">
        <v>800</v>
      </c>
      <c r="R14" s="14">
        <v>600</v>
      </c>
      <c r="S14" s="14">
        <v>1200</v>
      </c>
      <c r="T14" s="14">
        <v>1600</v>
      </c>
      <c r="U14" s="14"/>
      <c r="V14" s="14"/>
      <c r="W14" s="14"/>
      <c r="X14" s="14">
        <v>1000</v>
      </c>
      <c r="Y14" s="14">
        <v>1000</v>
      </c>
      <c r="Z14" s="14">
        <v>1800</v>
      </c>
      <c r="AA14" s="14">
        <v>1000</v>
      </c>
      <c r="AB14" s="14">
        <v>1200</v>
      </c>
      <c r="AC14" s="14"/>
      <c r="AD14" s="14"/>
      <c r="AE14" s="14">
        <v>1400</v>
      </c>
      <c r="AF14" s="14">
        <v>1400</v>
      </c>
      <c r="AG14" s="14">
        <v>2000</v>
      </c>
      <c r="AH14" s="14">
        <v>1600</v>
      </c>
      <c r="AI14" s="14"/>
      <c r="AJ14" s="14"/>
      <c r="AK14" s="32"/>
    </row>
    <row r="15" spans="1:37" x14ac:dyDescent="0.45">
      <c r="A15" s="31" t="s">
        <v>74</v>
      </c>
      <c r="B15" s="11" t="s">
        <v>18</v>
      </c>
      <c r="C15" s="11">
        <v>200</v>
      </c>
      <c r="D15" s="11" t="s">
        <v>19</v>
      </c>
      <c r="E15" s="12">
        <f t="shared" si="3"/>
        <v>0</v>
      </c>
      <c r="F15" s="13" t="s">
        <v>4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32"/>
    </row>
    <row r="16" spans="1:37" x14ac:dyDescent="0.45">
      <c r="A16" s="31" t="s">
        <v>7</v>
      </c>
      <c r="B16" s="11" t="s">
        <v>20</v>
      </c>
      <c r="C16" s="11">
        <v>175</v>
      </c>
      <c r="D16" s="11" t="s">
        <v>21</v>
      </c>
      <c r="E16" s="12">
        <f t="shared" si="3"/>
        <v>0</v>
      </c>
      <c r="F16" s="13" t="s">
        <v>4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32"/>
    </row>
    <row r="17" spans="1:37" x14ac:dyDescent="0.45">
      <c r="A17" s="31" t="s">
        <v>7</v>
      </c>
      <c r="B17" s="11" t="s">
        <v>20</v>
      </c>
      <c r="C17" s="11">
        <v>175</v>
      </c>
      <c r="D17" s="11" t="s">
        <v>22</v>
      </c>
      <c r="E17" s="12">
        <f t="shared" si="3"/>
        <v>0</v>
      </c>
      <c r="F17" s="13" t="s">
        <v>4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32"/>
    </row>
    <row r="18" spans="1:37" x14ac:dyDescent="0.45">
      <c r="A18" s="31" t="s">
        <v>7</v>
      </c>
      <c r="B18" s="11" t="s">
        <v>23</v>
      </c>
      <c r="C18" s="11">
        <v>175</v>
      </c>
      <c r="D18" s="11" t="s">
        <v>24</v>
      </c>
      <c r="E18" s="12">
        <f t="shared" si="3"/>
        <v>0</v>
      </c>
      <c r="F18" s="13" t="s">
        <v>4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32"/>
    </row>
    <row r="19" spans="1:37" x14ac:dyDescent="0.45">
      <c r="A19" s="31" t="s">
        <v>7</v>
      </c>
      <c r="B19" s="11" t="s">
        <v>23</v>
      </c>
      <c r="C19" s="11">
        <v>175</v>
      </c>
      <c r="D19" s="11" t="s">
        <v>25</v>
      </c>
      <c r="E19" s="12">
        <f t="shared" si="3"/>
        <v>0</v>
      </c>
      <c r="F19" s="13" t="s">
        <v>4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32"/>
    </row>
    <row r="20" spans="1:37" x14ac:dyDescent="0.45">
      <c r="A20" s="31" t="s">
        <v>7</v>
      </c>
      <c r="B20" s="11" t="s">
        <v>26</v>
      </c>
      <c r="C20" s="11">
        <v>175</v>
      </c>
      <c r="D20" s="11" t="s">
        <v>27</v>
      </c>
      <c r="E20" s="12">
        <f t="shared" si="3"/>
        <v>13125</v>
      </c>
      <c r="F20" s="13" t="s">
        <v>4</v>
      </c>
      <c r="G20" s="14"/>
      <c r="H20" s="14"/>
      <c r="I20" s="14"/>
      <c r="J20" s="14">
        <v>1225</v>
      </c>
      <c r="K20" s="14">
        <v>1225</v>
      </c>
      <c r="L20" s="14">
        <v>1225</v>
      </c>
      <c r="M20" s="14">
        <v>1225</v>
      </c>
      <c r="N20" s="14">
        <v>700</v>
      </c>
      <c r="O20" s="14"/>
      <c r="P20" s="14"/>
      <c r="Q20" s="14"/>
      <c r="R20" s="14"/>
      <c r="S20" s="14"/>
      <c r="T20" s="14"/>
      <c r="U20" s="14"/>
      <c r="V20" s="14"/>
      <c r="W20" s="14"/>
      <c r="X20" s="14">
        <v>875</v>
      </c>
      <c r="Y20" s="14">
        <v>875</v>
      </c>
      <c r="Z20" s="14"/>
      <c r="AA20" s="14">
        <v>875</v>
      </c>
      <c r="AB20" s="14">
        <v>525</v>
      </c>
      <c r="AC20" s="14"/>
      <c r="AD20" s="14"/>
      <c r="AE20" s="14">
        <v>875</v>
      </c>
      <c r="AF20" s="14">
        <v>875</v>
      </c>
      <c r="AG20" s="14"/>
      <c r="AH20" s="14">
        <v>875</v>
      </c>
      <c r="AI20" s="14">
        <v>1750</v>
      </c>
      <c r="AJ20" s="14"/>
      <c r="AK20" s="32"/>
    </row>
    <row r="21" spans="1:37" x14ac:dyDescent="0.45">
      <c r="A21" s="33" t="s">
        <v>97</v>
      </c>
      <c r="B21" s="15" t="s">
        <v>26</v>
      </c>
      <c r="C21" s="15">
        <v>175</v>
      </c>
      <c r="D21" s="15" t="s">
        <v>27</v>
      </c>
      <c r="E21" s="16">
        <f>SUM($G21:$AK21)</f>
        <v>6125</v>
      </c>
      <c r="F21" s="17" t="s">
        <v>31</v>
      </c>
      <c r="G21" s="18"/>
      <c r="H21" s="18"/>
      <c r="I21" s="18"/>
      <c r="J21" s="18">
        <v>525</v>
      </c>
      <c r="K21" s="18">
        <v>525</v>
      </c>
      <c r="L21" s="18">
        <v>1050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>
        <v>875</v>
      </c>
      <c r="Y21" s="18"/>
      <c r="Z21" s="18">
        <v>700</v>
      </c>
      <c r="AA21" s="18">
        <v>875</v>
      </c>
      <c r="AB21" s="18"/>
      <c r="AC21" s="18"/>
      <c r="AD21" s="18"/>
      <c r="AE21" s="18"/>
      <c r="AF21" s="18"/>
      <c r="AG21" s="18"/>
      <c r="AH21" s="18">
        <v>700</v>
      </c>
      <c r="AI21" s="18">
        <v>875</v>
      </c>
      <c r="AJ21" s="18"/>
      <c r="AK21" s="34"/>
    </row>
    <row r="22" spans="1:37" x14ac:dyDescent="0.45">
      <c r="A22" s="33" t="s">
        <v>97</v>
      </c>
      <c r="B22" s="15" t="s">
        <v>32</v>
      </c>
      <c r="C22" s="15">
        <v>125</v>
      </c>
      <c r="D22" s="15" t="s">
        <v>33</v>
      </c>
      <c r="E22" s="16">
        <f t="shared" ref="E22:E45" si="4">SUM($G22:$AK22)</f>
        <v>0</v>
      </c>
      <c r="F22" s="17" t="s">
        <v>31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34"/>
    </row>
    <row r="23" spans="1:37" x14ac:dyDescent="0.45">
      <c r="A23" s="33" t="s">
        <v>97</v>
      </c>
      <c r="B23" s="15" t="s">
        <v>34</v>
      </c>
      <c r="C23" s="15">
        <v>125</v>
      </c>
      <c r="D23" s="15" t="s">
        <v>35</v>
      </c>
      <c r="E23" s="16">
        <f t="shared" si="4"/>
        <v>4875</v>
      </c>
      <c r="F23" s="17" t="s">
        <v>31</v>
      </c>
      <c r="G23" s="18"/>
      <c r="H23" s="18"/>
      <c r="I23" s="18"/>
      <c r="J23" s="18"/>
      <c r="K23" s="18"/>
      <c r="L23" s="18"/>
      <c r="M23" s="18">
        <v>375</v>
      </c>
      <c r="N23" s="18">
        <v>1250</v>
      </c>
      <c r="O23" s="18"/>
      <c r="P23" s="18"/>
      <c r="Q23" s="18"/>
      <c r="R23" s="18"/>
      <c r="S23" s="18">
        <v>1625</v>
      </c>
      <c r="T23" s="18"/>
      <c r="U23" s="18"/>
      <c r="V23" s="18"/>
      <c r="W23" s="18"/>
      <c r="X23" s="18"/>
      <c r="Y23" s="18"/>
      <c r="Z23" s="18"/>
      <c r="AA23" s="18"/>
      <c r="AB23" s="18">
        <v>1625</v>
      </c>
      <c r="AC23" s="18"/>
      <c r="AD23" s="18"/>
      <c r="AE23" s="18"/>
      <c r="AF23" s="18"/>
      <c r="AG23" s="18"/>
      <c r="AH23" s="18"/>
      <c r="AI23" s="18"/>
      <c r="AJ23" s="18"/>
      <c r="AK23" s="34"/>
    </row>
    <row r="24" spans="1:37" x14ac:dyDescent="0.45">
      <c r="A24" s="33" t="s">
        <v>97</v>
      </c>
      <c r="B24" s="15" t="s">
        <v>34</v>
      </c>
      <c r="C24" s="15">
        <v>125</v>
      </c>
      <c r="D24" s="15" t="s">
        <v>36</v>
      </c>
      <c r="E24" s="16">
        <f t="shared" si="4"/>
        <v>21600</v>
      </c>
      <c r="F24" s="17" t="s">
        <v>31</v>
      </c>
      <c r="G24" s="18"/>
      <c r="H24" s="18"/>
      <c r="I24" s="18"/>
      <c r="J24" s="18"/>
      <c r="K24" s="18">
        <v>2875</v>
      </c>
      <c r="L24" s="18"/>
      <c r="M24" s="18">
        <v>600</v>
      </c>
      <c r="N24" s="18">
        <v>2875</v>
      </c>
      <c r="O24" s="18"/>
      <c r="P24" s="18"/>
      <c r="Q24" s="18">
        <v>500</v>
      </c>
      <c r="R24" s="18"/>
      <c r="S24" s="18">
        <v>875</v>
      </c>
      <c r="T24" s="18">
        <v>1375</v>
      </c>
      <c r="U24" s="18"/>
      <c r="V24" s="18"/>
      <c r="W24" s="18"/>
      <c r="X24" s="18"/>
      <c r="Y24" s="18">
        <v>1000</v>
      </c>
      <c r="Z24" s="18">
        <v>1625</v>
      </c>
      <c r="AA24" s="18">
        <v>875</v>
      </c>
      <c r="AB24" s="18"/>
      <c r="AC24" s="18"/>
      <c r="AD24" s="18"/>
      <c r="AE24" s="18"/>
      <c r="AF24" s="18">
        <v>4250</v>
      </c>
      <c r="AG24" s="18">
        <v>3125</v>
      </c>
      <c r="AH24" s="18"/>
      <c r="AI24" s="18">
        <v>1625</v>
      </c>
      <c r="AJ24" s="18"/>
      <c r="AK24" s="34"/>
    </row>
    <row r="25" spans="1:37" x14ac:dyDescent="0.45">
      <c r="A25" s="33" t="s">
        <v>97</v>
      </c>
      <c r="B25" s="15" t="s">
        <v>38</v>
      </c>
      <c r="C25" s="15">
        <v>125</v>
      </c>
      <c r="D25" s="15" t="s">
        <v>39</v>
      </c>
      <c r="E25" s="16">
        <f t="shared" si="4"/>
        <v>0</v>
      </c>
      <c r="F25" s="17" t="s">
        <v>31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34"/>
    </row>
    <row r="26" spans="1:37" x14ac:dyDescent="0.45">
      <c r="A26" s="33" t="s">
        <v>97</v>
      </c>
      <c r="B26" s="15" t="s">
        <v>37</v>
      </c>
      <c r="C26" s="15">
        <v>125</v>
      </c>
      <c r="D26" s="15" t="s">
        <v>40</v>
      </c>
      <c r="E26" s="16">
        <f t="shared" si="4"/>
        <v>500</v>
      </c>
      <c r="F26" s="17" t="s">
        <v>31</v>
      </c>
      <c r="G26" s="18"/>
      <c r="H26" s="18"/>
      <c r="I26" s="18"/>
      <c r="J26" s="18"/>
      <c r="K26" s="18">
        <v>125</v>
      </c>
      <c r="L26" s="18"/>
      <c r="M26" s="18"/>
      <c r="N26" s="18"/>
      <c r="O26" s="18"/>
      <c r="P26" s="18"/>
      <c r="Q26" s="18">
        <v>125</v>
      </c>
      <c r="R26" s="18"/>
      <c r="S26" s="18"/>
      <c r="T26" s="18"/>
      <c r="U26" s="18"/>
      <c r="V26" s="18"/>
      <c r="W26" s="18"/>
      <c r="X26" s="18">
        <v>250</v>
      </c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34"/>
    </row>
    <row r="27" spans="1:37" x14ac:dyDescent="0.45">
      <c r="A27" s="33" t="s">
        <v>97</v>
      </c>
      <c r="B27" s="15" t="s">
        <v>41</v>
      </c>
      <c r="C27" s="15">
        <v>175</v>
      </c>
      <c r="D27" s="15" t="s">
        <v>42</v>
      </c>
      <c r="E27" s="16">
        <f t="shared" si="4"/>
        <v>0</v>
      </c>
      <c r="F27" s="17" t="s">
        <v>31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34"/>
    </row>
    <row r="28" spans="1:37" x14ac:dyDescent="0.45">
      <c r="A28" s="33" t="s">
        <v>97</v>
      </c>
      <c r="B28" s="15" t="s">
        <v>43</v>
      </c>
      <c r="C28" s="15">
        <v>175</v>
      </c>
      <c r="D28" s="15" t="s">
        <v>44</v>
      </c>
      <c r="E28" s="16">
        <f t="shared" si="4"/>
        <v>5950</v>
      </c>
      <c r="F28" s="17" t="s">
        <v>31</v>
      </c>
      <c r="G28" s="18"/>
      <c r="H28" s="18"/>
      <c r="I28" s="18"/>
      <c r="J28" s="18"/>
      <c r="K28" s="18"/>
      <c r="L28" s="18">
        <v>1400</v>
      </c>
      <c r="M28" s="18"/>
      <c r="N28" s="18"/>
      <c r="O28" s="18"/>
      <c r="P28" s="18"/>
      <c r="Q28" s="18">
        <v>1050</v>
      </c>
      <c r="R28" s="18">
        <v>875</v>
      </c>
      <c r="S28" s="18"/>
      <c r="T28" s="18"/>
      <c r="U28" s="18"/>
      <c r="V28" s="18"/>
      <c r="W28" s="18"/>
      <c r="X28" s="18">
        <v>1225</v>
      </c>
      <c r="Y28" s="18"/>
      <c r="Z28" s="18"/>
      <c r="AA28" s="18"/>
      <c r="AB28" s="18"/>
      <c r="AC28" s="18"/>
      <c r="AD28" s="18"/>
      <c r="AE28" s="18"/>
      <c r="AF28" s="18"/>
      <c r="AG28" s="18">
        <v>875</v>
      </c>
      <c r="AH28" s="18"/>
      <c r="AI28" s="18">
        <v>525</v>
      </c>
      <c r="AJ28" s="18"/>
      <c r="AK28" s="34"/>
    </row>
    <row r="29" spans="1:37" x14ac:dyDescent="0.45">
      <c r="A29" s="33" t="s">
        <v>97</v>
      </c>
      <c r="B29" s="15" t="s">
        <v>45</v>
      </c>
      <c r="C29" s="15">
        <v>175</v>
      </c>
      <c r="D29" s="15" t="s">
        <v>46</v>
      </c>
      <c r="E29" s="16">
        <f t="shared" si="4"/>
        <v>6650</v>
      </c>
      <c r="F29" s="17" t="s">
        <v>31</v>
      </c>
      <c r="G29" s="18"/>
      <c r="H29" s="18"/>
      <c r="I29" s="18"/>
      <c r="J29" s="18"/>
      <c r="K29" s="18"/>
      <c r="L29" s="18">
        <v>1400</v>
      </c>
      <c r="M29" s="18"/>
      <c r="N29" s="18"/>
      <c r="O29" s="18"/>
      <c r="P29" s="18"/>
      <c r="Q29" s="18">
        <v>1925</v>
      </c>
      <c r="R29" s="18"/>
      <c r="S29" s="18"/>
      <c r="T29" s="18"/>
      <c r="U29" s="18"/>
      <c r="V29" s="18"/>
      <c r="W29" s="18"/>
      <c r="X29" s="18">
        <v>1925</v>
      </c>
      <c r="Y29" s="18"/>
      <c r="Z29" s="18"/>
      <c r="AA29" s="18"/>
      <c r="AB29" s="18"/>
      <c r="AC29" s="18"/>
      <c r="AD29" s="18"/>
      <c r="AE29" s="18"/>
      <c r="AF29" s="18"/>
      <c r="AG29" s="18"/>
      <c r="AH29" s="18">
        <v>1400</v>
      </c>
      <c r="AI29" s="18"/>
      <c r="AJ29" s="18"/>
      <c r="AK29" s="34"/>
    </row>
    <row r="30" spans="1:37" x14ac:dyDescent="0.45">
      <c r="A30" s="33" t="s">
        <v>97</v>
      </c>
      <c r="B30" s="15" t="s">
        <v>47</v>
      </c>
      <c r="C30" s="15">
        <v>175</v>
      </c>
      <c r="D30" s="15" t="s">
        <v>48</v>
      </c>
      <c r="E30" s="16">
        <f t="shared" si="4"/>
        <v>2100</v>
      </c>
      <c r="F30" s="17" t="s">
        <v>31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>
        <v>700</v>
      </c>
      <c r="AB30" s="18"/>
      <c r="AC30" s="18"/>
      <c r="AD30" s="18"/>
      <c r="AE30" s="18">
        <v>1400</v>
      </c>
      <c r="AF30" s="18"/>
      <c r="AG30" s="18"/>
      <c r="AH30" s="18"/>
      <c r="AI30" s="18"/>
      <c r="AJ30" s="18"/>
      <c r="AK30" s="34"/>
    </row>
    <row r="31" spans="1:37" x14ac:dyDescent="0.45">
      <c r="A31" s="33" t="s">
        <v>97</v>
      </c>
      <c r="B31" s="15" t="s">
        <v>49</v>
      </c>
      <c r="C31" s="15">
        <v>180</v>
      </c>
      <c r="D31" s="15" t="s">
        <v>50</v>
      </c>
      <c r="E31" s="16">
        <f t="shared" si="4"/>
        <v>0</v>
      </c>
      <c r="F31" s="17" t="s">
        <v>31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34"/>
    </row>
    <row r="32" spans="1:37" x14ac:dyDescent="0.45">
      <c r="A32" s="33" t="s">
        <v>97</v>
      </c>
      <c r="B32" s="15" t="s">
        <v>51</v>
      </c>
      <c r="C32" s="15">
        <v>180</v>
      </c>
      <c r="D32" s="15" t="s">
        <v>52</v>
      </c>
      <c r="E32" s="16">
        <f t="shared" si="4"/>
        <v>0</v>
      </c>
      <c r="F32" s="17" t="s">
        <v>31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34"/>
    </row>
    <row r="33" spans="1:37" x14ac:dyDescent="0.45">
      <c r="A33" s="35" t="s">
        <v>74</v>
      </c>
      <c r="B33" s="19" t="s">
        <v>53</v>
      </c>
      <c r="C33" s="19">
        <v>200</v>
      </c>
      <c r="D33" s="19" t="s">
        <v>54</v>
      </c>
      <c r="E33" s="16">
        <f t="shared" si="4"/>
        <v>6000</v>
      </c>
      <c r="F33" s="17" t="s">
        <v>31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>
        <v>2000</v>
      </c>
      <c r="S33" s="18"/>
      <c r="T33" s="18"/>
      <c r="U33" s="18"/>
      <c r="V33" s="18"/>
      <c r="W33" s="18"/>
      <c r="X33" s="18"/>
      <c r="Y33" s="18">
        <v>2000</v>
      </c>
      <c r="Z33" s="18"/>
      <c r="AA33" s="18"/>
      <c r="AB33" s="18"/>
      <c r="AC33" s="18"/>
      <c r="AD33" s="18"/>
      <c r="AE33" s="18">
        <v>2000</v>
      </c>
      <c r="AF33" s="18"/>
      <c r="AG33" s="18"/>
      <c r="AH33" s="18"/>
      <c r="AI33" s="18"/>
      <c r="AJ33" s="18"/>
      <c r="AK33" s="34"/>
    </row>
    <row r="34" spans="1:37" x14ac:dyDescent="0.45">
      <c r="A34" s="35" t="s">
        <v>74</v>
      </c>
      <c r="B34" s="19" t="s">
        <v>55</v>
      </c>
      <c r="C34" s="19">
        <v>180</v>
      </c>
      <c r="D34" s="19" t="s">
        <v>56</v>
      </c>
      <c r="E34" s="16">
        <f t="shared" si="4"/>
        <v>180</v>
      </c>
      <c r="F34" s="17" t="s">
        <v>31</v>
      </c>
      <c r="G34" s="18"/>
      <c r="H34" s="18"/>
      <c r="I34" s="18"/>
      <c r="J34" s="18">
        <v>180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34"/>
    </row>
    <row r="35" spans="1:37" x14ac:dyDescent="0.45">
      <c r="A35" s="35" t="s">
        <v>74</v>
      </c>
      <c r="B35" s="19" t="s">
        <v>57</v>
      </c>
      <c r="C35" s="19">
        <v>180</v>
      </c>
      <c r="D35" s="19" t="s">
        <v>58</v>
      </c>
      <c r="E35" s="16">
        <f t="shared" si="4"/>
        <v>1980</v>
      </c>
      <c r="F35" s="17" t="s">
        <v>31</v>
      </c>
      <c r="G35" s="18"/>
      <c r="H35" s="18"/>
      <c r="I35" s="18"/>
      <c r="J35" s="18">
        <v>540</v>
      </c>
      <c r="K35" s="18"/>
      <c r="L35" s="18"/>
      <c r="M35" s="18"/>
      <c r="N35" s="18"/>
      <c r="O35" s="18"/>
      <c r="P35" s="18"/>
      <c r="Q35" s="18"/>
      <c r="R35" s="18">
        <v>360</v>
      </c>
      <c r="S35" s="18"/>
      <c r="T35" s="18">
        <v>360</v>
      </c>
      <c r="U35" s="18"/>
      <c r="V35" s="18"/>
      <c r="W35" s="18"/>
      <c r="X35" s="18"/>
      <c r="Y35" s="18">
        <v>360</v>
      </c>
      <c r="Z35" s="18"/>
      <c r="AA35" s="18">
        <v>180</v>
      </c>
      <c r="AB35" s="18"/>
      <c r="AC35" s="18"/>
      <c r="AD35" s="18"/>
      <c r="AE35" s="18">
        <v>180</v>
      </c>
      <c r="AF35" s="18"/>
      <c r="AG35" s="18"/>
      <c r="AH35" s="18"/>
      <c r="AI35" s="18"/>
      <c r="AJ35" s="18"/>
      <c r="AK35" s="34"/>
    </row>
    <row r="36" spans="1:37" x14ac:dyDescent="0.45">
      <c r="A36" s="35" t="s">
        <v>74</v>
      </c>
      <c r="B36" s="19" t="s">
        <v>59</v>
      </c>
      <c r="C36" s="19">
        <v>180</v>
      </c>
      <c r="D36" s="19" t="s">
        <v>60</v>
      </c>
      <c r="E36" s="16">
        <f t="shared" si="4"/>
        <v>2700</v>
      </c>
      <c r="F36" s="17" t="s">
        <v>31</v>
      </c>
      <c r="G36" s="18"/>
      <c r="H36" s="18"/>
      <c r="I36" s="18"/>
      <c r="J36" s="18">
        <v>540</v>
      </c>
      <c r="K36" s="18"/>
      <c r="L36" s="18"/>
      <c r="M36" s="18">
        <v>360</v>
      </c>
      <c r="N36" s="18"/>
      <c r="O36" s="18"/>
      <c r="P36" s="18"/>
      <c r="Q36" s="18"/>
      <c r="R36" s="18">
        <v>360</v>
      </c>
      <c r="S36" s="18"/>
      <c r="T36" s="18"/>
      <c r="U36" s="18"/>
      <c r="V36" s="18"/>
      <c r="W36" s="18"/>
      <c r="X36" s="18"/>
      <c r="Y36" s="18">
        <v>360</v>
      </c>
      <c r="Z36" s="18"/>
      <c r="AA36" s="18">
        <v>360</v>
      </c>
      <c r="AB36" s="18"/>
      <c r="AC36" s="18"/>
      <c r="AD36" s="18"/>
      <c r="AE36" s="18">
        <v>360</v>
      </c>
      <c r="AF36" s="18"/>
      <c r="AG36" s="18">
        <v>360</v>
      </c>
      <c r="AH36" s="18"/>
      <c r="AI36" s="18"/>
      <c r="AJ36" s="18"/>
      <c r="AK36" s="34"/>
    </row>
    <row r="37" spans="1:37" x14ac:dyDescent="0.45">
      <c r="A37" s="35" t="s">
        <v>74</v>
      </c>
      <c r="B37" s="19" t="s">
        <v>61</v>
      </c>
      <c r="C37" s="19">
        <v>180</v>
      </c>
      <c r="D37" s="19" t="s">
        <v>62</v>
      </c>
      <c r="E37" s="16">
        <f t="shared" si="4"/>
        <v>180</v>
      </c>
      <c r="F37" s="17" t="s">
        <v>31</v>
      </c>
      <c r="G37" s="18"/>
      <c r="H37" s="18"/>
      <c r="I37" s="18"/>
      <c r="J37" s="18">
        <v>180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34"/>
    </row>
    <row r="38" spans="1:37" x14ac:dyDescent="0.45">
      <c r="A38" s="35" t="s">
        <v>74</v>
      </c>
      <c r="B38" s="19" t="s">
        <v>63</v>
      </c>
      <c r="C38" s="19">
        <v>175</v>
      </c>
      <c r="D38" s="19" t="s">
        <v>64</v>
      </c>
      <c r="E38" s="16">
        <f t="shared" si="4"/>
        <v>540</v>
      </c>
      <c r="F38" s="17" t="s">
        <v>31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>
        <v>180</v>
      </c>
      <c r="AH38" s="18"/>
      <c r="AI38" s="18">
        <v>360</v>
      </c>
      <c r="AJ38" s="18"/>
      <c r="AK38" s="34"/>
    </row>
    <row r="39" spans="1:37" x14ac:dyDescent="0.45">
      <c r="A39" s="35" t="s">
        <v>74</v>
      </c>
      <c r="B39" s="19" t="s">
        <v>65</v>
      </c>
      <c r="C39" s="19">
        <v>180</v>
      </c>
      <c r="D39" s="19" t="s">
        <v>103</v>
      </c>
      <c r="E39" s="16">
        <f t="shared" si="4"/>
        <v>1440</v>
      </c>
      <c r="F39" s="17" t="s">
        <v>5</v>
      </c>
      <c r="G39" s="18"/>
      <c r="H39" s="18"/>
      <c r="I39" s="18"/>
      <c r="J39" s="18">
        <v>360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>
        <v>360</v>
      </c>
      <c r="AB39" s="18"/>
      <c r="AC39" s="18"/>
      <c r="AD39" s="18"/>
      <c r="AE39" s="18">
        <v>360</v>
      </c>
      <c r="AF39" s="18"/>
      <c r="AG39" s="18"/>
      <c r="AH39" s="18">
        <v>360</v>
      </c>
      <c r="AI39" s="18"/>
      <c r="AJ39" s="18"/>
      <c r="AK39" s="34"/>
    </row>
    <row r="40" spans="1:37" x14ac:dyDescent="0.45">
      <c r="A40" s="35" t="s">
        <v>74</v>
      </c>
      <c r="B40" s="19" t="s">
        <v>105</v>
      </c>
      <c r="C40" s="19">
        <v>180</v>
      </c>
      <c r="D40" s="19" t="s">
        <v>104</v>
      </c>
      <c r="E40" s="16"/>
      <c r="F40" s="17" t="s">
        <v>5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>
        <v>180</v>
      </c>
      <c r="AG40" s="18"/>
      <c r="AH40" s="18"/>
      <c r="AI40" s="18"/>
      <c r="AJ40" s="18"/>
      <c r="AK40" s="34"/>
    </row>
    <row r="41" spans="1:37" x14ac:dyDescent="0.45">
      <c r="A41" s="35" t="s">
        <v>74</v>
      </c>
      <c r="B41" s="19" t="s">
        <v>66</v>
      </c>
      <c r="C41" s="19">
        <v>180</v>
      </c>
      <c r="D41" s="19" t="s">
        <v>67</v>
      </c>
      <c r="E41" s="16">
        <f t="shared" si="4"/>
        <v>8820</v>
      </c>
      <c r="F41" s="17" t="s">
        <v>31</v>
      </c>
      <c r="G41" s="18"/>
      <c r="H41" s="18"/>
      <c r="I41" s="18"/>
      <c r="J41" s="18"/>
      <c r="K41" s="18"/>
      <c r="L41" s="18"/>
      <c r="M41" s="18">
        <v>2340</v>
      </c>
      <c r="N41" s="18"/>
      <c r="O41" s="18"/>
      <c r="P41" s="18"/>
      <c r="Q41" s="18"/>
      <c r="R41" s="18"/>
      <c r="S41" s="18">
        <v>1800</v>
      </c>
      <c r="T41" s="18">
        <v>2520</v>
      </c>
      <c r="U41" s="18"/>
      <c r="V41" s="18"/>
      <c r="W41" s="18"/>
      <c r="X41" s="18"/>
      <c r="Y41" s="18">
        <v>180</v>
      </c>
      <c r="Z41" s="18">
        <v>1980</v>
      </c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34"/>
    </row>
    <row r="42" spans="1:37" x14ac:dyDescent="0.45">
      <c r="A42" s="35" t="s">
        <v>74</v>
      </c>
      <c r="B42" s="19" t="s">
        <v>68</v>
      </c>
      <c r="C42" s="19">
        <v>180</v>
      </c>
      <c r="D42" s="19" t="s">
        <v>69</v>
      </c>
      <c r="E42" s="16">
        <f t="shared" si="4"/>
        <v>2340</v>
      </c>
      <c r="F42" s="17" t="s">
        <v>31</v>
      </c>
      <c r="G42" s="18"/>
      <c r="H42" s="18"/>
      <c r="I42" s="18"/>
      <c r="J42" s="18">
        <v>1800</v>
      </c>
      <c r="K42" s="18">
        <v>540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34"/>
    </row>
    <row r="43" spans="1:37" x14ac:dyDescent="0.45">
      <c r="A43" s="33" t="s">
        <v>97</v>
      </c>
      <c r="B43" s="15" t="s">
        <v>70</v>
      </c>
      <c r="C43" s="15">
        <v>180</v>
      </c>
      <c r="D43" s="15" t="s">
        <v>71</v>
      </c>
      <c r="E43" s="16">
        <f t="shared" si="4"/>
        <v>0</v>
      </c>
      <c r="F43" s="17" t="s">
        <v>31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34"/>
    </row>
    <row r="44" spans="1:37" x14ac:dyDescent="0.45">
      <c r="A44" s="33" t="s">
        <v>97</v>
      </c>
      <c r="B44" s="15" t="s">
        <v>72</v>
      </c>
      <c r="C44" s="15">
        <v>180</v>
      </c>
      <c r="D44" s="15" t="s">
        <v>73</v>
      </c>
      <c r="E44" s="16">
        <f t="shared" si="4"/>
        <v>5400</v>
      </c>
      <c r="F44" s="17" t="s">
        <v>31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>
        <v>900</v>
      </c>
      <c r="AB44" s="18">
        <v>2700</v>
      </c>
      <c r="AC44" s="18"/>
      <c r="AD44" s="18"/>
      <c r="AE44" s="18"/>
      <c r="AF44" s="18"/>
      <c r="AG44" s="18"/>
      <c r="AH44" s="18">
        <v>1800</v>
      </c>
      <c r="AI44" s="18"/>
      <c r="AJ44" s="18"/>
      <c r="AK44" s="34"/>
    </row>
    <row r="45" spans="1:37" s="58" customFormat="1" x14ac:dyDescent="0.45">
      <c r="A45" s="36" t="s">
        <v>7</v>
      </c>
      <c r="B45" s="20" t="s">
        <v>107</v>
      </c>
      <c r="C45" s="20">
        <v>175</v>
      </c>
      <c r="D45" s="20" t="s">
        <v>106</v>
      </c>
      <c r="E45" s="21">
        <f t="shared" si="4"/>
        <v>5775</v>
      </c>
      <c r="F45" s="22" t="s">
        <v>6</v>
      </c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>
        <v>700</v>
      </c>
      <c r="AA45" s="23">
        <v>700</v>
      </c>
      <c r="AB45" s="23">
        <v>1225</v>
      </c>
      <c r="AC45" s="23"/>
      <c r="AD45" s="23"/>
      <c r="AE45" s="23">
        <v>700</v>
      </c>
      <c r="AF45" s="23">
        <v>700</v>
      </c>
      <c r="AG45" s="23">
        <v>525</v>
      </c>
      <c r="AH45" s="23">
        <v>1225</v>
      </c>
      <c r="AI45" s="23"/>
      <c r="AJ45" s="23"/>
      <c r="AK45" s="37"/>
    </row>
    <row r="46" spans="1:37" x14ac:dyDescent="0.45">
      <c r="A46" s="36" t="s">
        <v>97</v>
      </c>
      <c r="B46" s="20" t="s">
        <v>75</v>
      </c>
      <c r="C46" s="20">
        <v>180</v>
      </c>
      <c r="D46" s="20" t="s">
        <v>76</v>
      </c>
      <c r="E46" s="21">
        <f>SUM($G46:$AK46)</f>
        <v>4680</v>
      </c>
      <c r="F46" s="22" t="s">
        <v>99</v>
      </c>
      <c r="G46" s="23"/>
      <c r="H46" s="23"/>
      <c r="I46" s="23"/>
      <c r="J46" s="23"/>
      <c r="K46" s="23"/>
      <c r="L46" s="23">
        <v>360</v>
      </c>
      <c r="M46" s="23"/>
      <c r="N46" s="23">
        <v>180</v>
      </c>
      <c r="O46" s="23"/>
      <c r="P46" s="23"/>
      <c r="Q46" s="23">
        <v>540</v>
      </c>
      <c r="R46" s="23"/>
      <c r="S46" s="23">
        <v>180</v>
      </c>
      <c r="T46" s="23">
        <v>540</v>
      </c>
      <c r="U46" s="23"/>
      <c r="V46" s="23"/>
      <c r="W46" s="23"/>
      <c r="X46" s="23">
        <v>360</v>
      </c>
      <c r="Y46" s="23">
        <v>180</v>
      </c>
      <c r="Z46" s="23">
        <v>360</v>
      </c>
      <c r="AA46" s="23"/>
      <c r="AB46" s="23">
        <v>360</v>
      </c>
      <c r="AC46" s="23"/>
      <c r="AD46" s="23"/>
      <c r="AE46" s="23">
        <v>360</v>
      </c>
      <c r="AF46" s="23">
        <v>180</v>
      </c>
      <c r="AG46" s="23">
        <v>360</v>
      </c>
      <c r="AH46" s="23">
        <v>360</v>
      </c>
      <c r="AI46" s="23">
        <v>360</v>
      </c>
      <c r="AJ46" s="23"/>
      <c r="AK46" s="37"/>
    </row>
    <row r="47" spans="1:37" x14ac:dyDescent="0.45">
      <c r="A47" s="36" t="s">
        <v>97</v>
      </c>
      <c r="B47" s="20" t="s">
        <v>77</v>
      </c>
      <c r="C47" s="20">
        <v>210</v>
      </c>
      <c r="D47" s="20" t="s">
        <v>78</v>
      </c>
      <c r="E47" s="21">
        <f t="shared" ref="E47:E56" si="5">SUM($G47:$AK47)</f>
        <v>4020</v>
      </c>
      <c r="F47" s="22" t="s">
        <v>99</v>
      </c>
      <c r="G47" s="23"/>
      <c r="H47" s="23"/>
      <c r="I47" s="23"/>
      <c r="J47" s="23">
        <v>300</v>
      </c>
      <c r="K47" s="23">
        <v>300</v>
      </c>
      <c r="L47" s="23"/>
      <c r="M47" s="23"/>
      <c r="N47" s="23">
        <v>750</v>
      </c>
      <c r="O47" s="23"/>
      <c r="P47" s="23"/>
      <c r="Q47" s="23"/>
      <c r="R47" s="23">
        <v>840</v>
      </c>
      <c r="S47" s="23">
        <v>150</v>
      </c>
      <c r="T47" s="23"/>
      <c r="U47" s="23"/>
      <c r="V47" s="23"/>
      <c r="W47" s="23"/>
      <c r="X47" s="23">
        <v>450</v>
      </c>
      <c r="Y47" s="23">
        <v>150</v>
      </c>
      <c r="Z47" s="23">
        <v>180</v>
      </c>
      <c r="AA47" s="23"/>
      <c r="AB47" s="23">
        <v>300</v>
      </c>
      <c r="AC47" s="23"/>
      <c r="AD47" s="23"/>
      <c r="AE47" s="23">
        <v>150</v>
      </c>
      <c r="AF47" s="23">
        <v>150</v>
      </c>
      <c r="AG47" s="23">
        <v>150</v>
      </c>
      <c r="AH47" s="23"/>
      <c r="AI47" s="23">
        <v>150</v>
      </c>
      <c r="AJ47" s="23"/>
      <c r="AK47" s="37"/>
    </row>
    <row r="48" spans="1:37" x14ac:dyDescent="0.45">
      <c r="A48" s="36" t="s">
        <v>97</v>
      </c>
      <c r="B48" s="20" t="s">
        <v>79</v>
      </c>
      <c r="C48" s="20">
        <v>180</v>
      </c>
      <c r="D48" s="20" t="s">
        <v>80</v>
      </c>
      <c r="E48" s="21">
        <f t="shared" si="5"/>
        <v>4500</v>
      </c>
      <c r="F48" s="22" t="s">
        <v>99</v>
      </c>
      <c r="G48" s="23"/>
      <c r="H48" s="23"/>
      <c r="I48" s="23"/>
      <c r="J48" s="23">
        <v>360</v>
      </c>
      <c r="K48" s="23"/>
      <c r="L48" s="23">
        <v>540</v>
      </c>
      <c r="M48" s="23"/>
      <c r="N48" s="23"/>
      <c r="O48" s="23"/>
      <c r="P48" s="23"/>
      <c r="Q48" s="23">
        <v>360</v>
      </c>
      <c r="R48" s="23"/>
      <c r="S48" s="23">
        <v>360</v>
      </c>
      <c r="T48" s="23">
        <v>180</v>
      </c>
      <c r="U48" s="23"/>
      <c r="V48" s="23"/>
      <c r="W48" s="23"/>
      <c r="X48" s="23">
        <v>360</v>
      </c>
      <c r="Y48" s="23"/>
      <c r="Z48" s="23">
        <v>540</v>
      </c>
      <c r="AA48" s="23"/>
      <c r="AB48" s="23">
        <v>360</v>
      </c>
      <c r="AC48" s="23"/>
      <c r="AD48" s="23"/>
      <c r="AE48" s="23">
        <v>360</v>
      </c>
      <c r="AF48" s="23"/>
      <c r="AG48" s="23">
        <v>540</v>
      </c>
      <c r="AH48" s="23">
        <v>180</v>
      </c>
      <c r="AI48" s="23">
        <v>360</v>
      </c>
      <c r="AJ48" s="23"/>
      <c r="AK48" s="37"/>
    </row>
    <row r="49" spans="1:37" x14ac:dyDescent="0.45">
      <c r="A49" s="36" t="s">
        <v>97</v>
      </c>
      <c r="B49" s="20" t="s">
        <v>81</v>
      </c>
      <c r="C49" s="20">
        <v>180</v>
      </c>
      <c r="D49" s="20" t="s">
        <v>82</v>
      </c>
      <c r="E49" s="21">
        <f t="shared" si="5"/>
        <v>6060</v>
      </c>
      <c r="F49" s="22" t="s">
        <v>99</v>
      </c>
      <c r="G49" s="23"/>
      <c r="H49" s="23"/>
      <c r="I49" s="23"/>
      <c r="J49" s="23">
        <v>540</v>
      </c>
      <c r="K49" s="23">
        <v>540</v>
      </c>
      <c r="L49" s="23"/>
      <c r="M49" s="23">
        <v>540</v>
      </c>
      <c r="N49" s="23"/>
      <c r="O49" s="23"/>
      <c r="P49" s="23"/>
      <c r="Q49" s="23">
        <v>540</v>
      </c>
      <c r="R49" s="23"/>
      <c r="S49" s="23">
        <v>120</v>
      </c>
      <c r="T49" s="23"/>
      <c r="U49" s="23"/>
      <c r="V49" s="23"/>
      <c r="W49" s="23"/>
      <c r="X49" s="23">
        <v>360</v>
      </c>
      <c r="Y49" s="23">
        <v>360</v>
      </c>
      <c r="Z49" s="23">
        <v>360</v>
      </c>
      <c r="AA49" s="23">
        <v>180</v>
      </c>
      <c r="AB49" s="23">
        <v>360</v>
      </c>
      <c r="AC49" s="23"/>
      <c r="AD49" s="23"/>
      <c r="AE49" s="23">
        <v>360</v>
      </c>
      <c r="AF49" s="23">
        <v>480</v>
      </c>
      <c r="AG49" s="23">
        <v>480</v>
      </c>
      <c r="AH49" s="23">
        <v>480</v>
      </c>
      <c r="AI49" s="23">
        <v>360</v>
      </c>
      <c r="AJ49" s="23"/>
      <c r="AK49" s="37"/>
    </row>
    <row r="50" spans="1:37" x14ac:dyDescent="0.45">
      <c r="A50" s="36" t="s">
        <v>97</v>
      </c>
      <c r="B50" s="20" t="s">
        <v>83</v>
      </c>
      <c r="C50" s="20">
        <v>180</v>
      </c>
      <c r="D50" s="20" t="s">
        <v>84</v>
      </c>
      <c r="E50" s="21">
        <f t="shared" si="5"/>
        <v>17580</v>
      </c>
      <c r="F50" s="22" t="s">
        <v>99</v>
      </c>
      <c r="G50" s="23"/>
      <c r="H50" s="23"/>
      <c r="I50" s="23"/>
      <c r="J50" s="23">
        <v>540</v>
      </c>
      <c r="K50" s="23">
        <v>1080</v>
      </c>
      <c r="L50" s="23"/>
      <c r="M50" s="23">
        <v>1260</v>
      </c>
      <c r="N50" s="23">
        <v>180</v>
      </c>
      <c r="O50" s="23"/>
      <c r="P50" s="23"/>
      <c r="Q50" s="23">
        <v>540</v>
      </c>
      <c r="R50" s="23">
        <v>1080</v>
      </c>
      <c r="S50" s="23">
        <v>900</v>
      </c>
      <c r="T50" s="23">
        <v>1440</v>
      </c>
      <c r="U50" s="23"/>
      <c r="V50" s="23"/>
      <c r="W50" s="23"/>
      <c r="X50" s="23">
        <v>900</v>
      </c>
      <c r="Y50" s="23">
        <v>1080</v>
      </c>
      <c r="Z50" s="23">
        <v>900</v>
      </c>
      <c r="AA50" s="23">
        <v>1080</v>
      </c>
      <c r="AB50" s="23">
        <v>1200</v>
      </c>
      <c r="AC50" s="23"/>
      <c r="AD50" s="23"/>
      <c r="AE50" s="23">
        <v>1080</v>
      </c>
      <c r="AF50" s="23">
        <v>1080</v>
      </c>
      <c r="AG50" s="23">
        <v>1080</v>
      </c>
      <c r="AH50" s="23">
        <v>1080</v>
      </c>
      <c r="AI50" s="23">
        <v>1080</v>
      </c>
      <c r="AJ50" s="23"/>
      <c r="AK50" s="37"/>
    </row>
    <row r="51" spans="1:37" x14ac:dyDescent="0.45">
      <c r="A51" s="36" t="s">
        <v>97</v>
      </c>
      <c r="B51" s="20" t="s">
        <v>85</v>
      </c>
      <c r="C51" s="20">
        <v>180</v>
      </c>
      <c r="D51" s="20" t="s">
        <v>86</v>
      </c>
      <c r="E51" s="21">
        <f t="shared" si="5"/>
        <v>2700</v>
      </c>
      <c r="F51" s="22" t="s">
        <v>99</v>
      </c>
      <c r="G51" s="23"/>
      <c r="H51" s="23"/>
      <c r="I51" s="23"/>
      <c r="J51" s="23">
        <v>180</v>
      </c>
      <c r="K51" s="23">
        <v>180</v>
      </c>
      <c r="L51" s="23">
        <v>180</v>
      </c>
      <c r="M51" s="23">
        <v>180</v>
      </c>
      <c r="N51" s="23"/>
      <c r="O51" s="23"/>
      <c r="P51" s="23"/>
      <c r="Q51" s="23">
        <v>180</v>
      </c>
      <c r="R51" s="23"/>
      <c r="S51" s="23">
        <v>180</v>
      </c>
      <c r="T51" s="23">
        <v>180</v>
      </c>
      <c r="U51" s="23"/>
      <c r="V51" s="23"/>
      <c r="W51" s="23"/>
      <c r="X51" s="23">
        <v>180</v>
      </c>
      <c r="Y51" s="23"/>
      <c r="Z51" s="23">
        <v>360</v>
      </c>
      <c r="AA51" s="23">
        <v>360</v>
      </c>
      <c r="AB51" s="23"/>
      <c r="AC51" s="23"/>
      <c r="AD51" s="23"/>
      <c r="AE51" s="23">
        <v>180</v>
      </c>
      <c r="AF51" s="23"/>
      <c r="AG51" s="23">
        <v>180</v>
      </c>
      <c r="AH51" s="23"/>
      <c r="AI51" s="23">
        <v>180</v>
      </c>
      <c r="AJ51" s="23"/>
      <c r="AK51" s="37"/>
    </row>
    <row r="52" spans="1:37" x14ac:dyDescent="0.45">
      <c r="A52" s="36" t="s">
        <v>97</v>
      </c>
      <c r="B52" s="20" t="s">
        <v>87</v>
      </c>
      <c r="C52" s="20">
        <v>210</v>
      </c>
      <c r="D52" s="20" t="s">
        <v>88</v>
      </c>
      <c r="E52" s="21">
        <f t="shared" si="5"/>
        <v>11550</v>
      </c>
      <c r="F52" s="22" t="s">
        <v>99</v>
      </c>
      <c r="G52" s="23"/>
      <c r="H52" s="23"/>
      <c r="I52" s="23"/>
      <c r="J52" s="23">
        <v>1050</v>
      </c>
      <c r="K52" s="23">
        <v>1050</v>
      </c>
      <c r="L52" s="23">
        <v>1950</v>
      </c>
      <c r="M52" s="23">
        <v>750</v>
      </c>
      <c r="N52" s="23">
        <v>1200</v>
      </c>
      <c r="O52" s="23"/>
      <c r="P52" s="23"/>
      <c r="Q52" s="23">
        <v>450</v>
      </c>
      <c r="R52" s="23">
        <v>1200</v>
      </c>
      <c r="S52" s="23">
        <v>450</v>
      </c>
      <c r="T52" s="23"/>
      <c r="U52" s="23"/>
      <c r="V52" s="23"/>
      <c r="W52" s="23"/>
      <c r="X52" s="23">
        <v>450</v>
      </c>
      <c r="Y52" s="23">
        <v>1200</v>
      </c>
      <c r="Z52" s="23"/>
      <c r="AA52" s="23">
        <v>150</v>
      </c>
      <c r="AB52" s="23"/>
      <c r="AC52" s="23"/>
      <c r="AD52" s="23"/>
      <c r="AE52" s="23">
        <v>300</v>
      </c>
      <c r="AF52" s="23">
        <v>1050</v>
      </c>
      <c r="AG52" s="23"/>
      <c r="AH52" s="23">
        <v>300</v>
      </c>
      <c r="AI52" s="23"/>
      <c r="AJ52" s="23"/>
      <c r="AK52" s="37"/>
    </row>
    <row r="53" spans="1:37" x14ac:dyDescent="0.45">
      <c r="A53" s="36" t="s">
        <v>97</v>
      </c>
      <c r="B53" s="20" t="s">
        <v>89</v>
      </c>
      <c r="C53" s="20">
        <v>210</v>
      </c>
      <c r="D53" s="20" t="s">
        <v>90</v>
      </c>
      <c r="E53" s="21">
        <f t="shared" si="5"/>
        <v>1200</v>
      </c>
      <c r="F53" s="22" t="s">
        <v>99</v>
      </c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>
        <v>450</v>
      </c>
      <c r="T53" s="23">
        <v>300</v>
      </c>
      <c r="U53" s="23"/>
      <c r="V53" s="23"/>
      <c r="W53" s="23"/>
      <c r="X53" s="23"/>
      <c r="Y53" s="23"/>
      <c r="Z53" s="23"/>
      <c r="AA53" s="23">
        <v>450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37"/>
    </row>
    <row r="54" spans="1:37" x14ac:dyDescent="0.45">
      <c r="A54" s="36" t="s">
        <v>97</v>
      </c>
      <c r="B54" s="20" t="s">
        <v>91</v>
      </c>
      <c r="C54" s="20">
        <v>180</v>
      </c>
      <c r="D54" s="20" t="s">
        <v>92</v>
      </c>
      <c r="E54" s="21">
        <f t="shared" si="5"/>
        <v>1440</v>
      </c>
      <c r="F54" s="22" t="s">
        <v>99</v>
      </c>
      <c r="G54" s="23"/>
      <c r="H54" s="23"/>
      <c r="I54" s="23"/>
      <c r="J54" s="23">
        <v>180</v>
      </c>
      <c r="K54" s="23"/>
      <c r="L54" s="23"/>
      <c r="M54" s="23"/>
      <c r="N54" s="23"/>
      <c r="O54" s="23"/>
      <c r="P54" s="23"/>
      <c r="Q54" s="23"/>
      <c r="R54" s="23"/>
      <c r="S54" s="23">
        <v>180</v>
      </c>
      <c r="T54" s="23"/>
      <c r="U54" s="23"/>
      <c r="V54" s="23"/>
      <c r="W54" s="23"/>
      <c r="X54" s="23"/>
      <c r="Y54" s="23">
        <v>180</v>
      </c>
      <c r="Z54" s="23"/>
      <c r="AA54" s="23">
        <v>180</v>
      </c>
      <c r="AB54" s="23"/>
      <c r="AC54" s="23"/>
      <c r="AD54" s="23"/>
      <c r="AE54" s="23">
        <v>180</v>
      </c>
      <c r="AF54" s="23"/>
      <c r="AG54" s="23">
        <v>180</v>
      </c>
      <c r="AH54" s="23">
        <v>180</v>
      </c>
      <c r="AI54" s="23">
        <v>180</v>
      </c>
      <c r="AJ54" s="23"/>
      <c r="AK54" s="37"/>
    </row>
    <row r="55" spans="1:37" x14ac:dyDescent="0.45">
      <c r="A55" s="36" t="s">
        <v>97</v>
      </c>
      <c r="B55" s="20" t="s">
        <v>93</v>
      </c>
      <c r="C55" s="20">
        <v>180</v>
      </c>
      <c r="D55" s="20" t="s">
        <v>94</v>
      </c>
      <c r="E55" s="21">
        <f t="shared" si="5"/>
        <v>1620</v>
      </c>
      <c r="F55" s="22" t="s">
        <v>99</v>
      </c>
      <c r="G55" s="23"/>
      <c r="H55" s="23"/>
      <c r="I55" s="23"/>
      <c r="J55" s="23"/>
      <c r="K55" s="23"/>
      <c r="L55" s="23"/>
      <c r="M55" s="23">
        <v>360</v>
      </c>
      <c r="N55" s="23">
        <v>360</v>
      </c>
      <c r="O55" s="23"/>
      <c r="P55" s="23"/>
      <c r="Q55" s="23"/>
      <c r="R55" s="23"/>
      <c r="S55" s="23">
        <v>360</v>
      </c>
      <c r="T55" s="23">
        <v>360</v>
      </c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>
        <v>180</v>
      </c>
      <c r="AH55" s="23"/>
      <c r="AI55" s="23"/>
      <c r="AJ55" s="23"/>
      <c r="AK55" s="37"/>
    </row>
    <row r="56" spans="1:37" ht="17.5" thickBot="1" x14ac:dyDescent="0.5">
      <c r="A56" s="38" t="s">
        <v>97</v>
      </c>
      <c r="B56" s="39" t="s">
        <v>95</v>
      </c>
      <c r="C56" s="39">
        <v>180</v>
      </c>
      <c r="D56" s="39" t="s">
        <v>96</v>
      </c>
      <c r="E56" s="40">
        <f t="shared" si="5"/>
        <v>180</v>
      </c>
      <c r="F56" s="41" t="s">
        <v>99</v>
      </c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>
        <v>180</v>
      </c>
      <c r="AJ56" s="42"/>
      <c r="AK56" s="4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민수 진</dc:creator>
  <cp:lastModifiedBy>민수 진</cp:lastModifiedBy>
  <dcterms:created xsi:type="dcterms:W3CDTF">2025-12-17T06:41:42Z</dcterms:created>
  <dcterms:modified xsi:type="dcterms:W3CDTF">2025-12-28T02:37:07Z</dcterms:modified>
</cp:coreProperties>
</file>